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2"/>
  </bookViews>
  <sheets>
    <sheet name="Assumptions" sheetId="1" state="visible" r:id="rId3"/>
    <sheet name="Plans" sheetId="2" state="visible" r:id="rId4"/>
    <sheet name="Per-Client Cost" sheetId="3" state="visible" r:id="rId5"/>
    <sheet name="Per-Client Revenue" sheetId="4" state="visible" r:id="rId6"/>
    <sheet name="Portfolio Model" sheetId="5" state="visible" r:id="rId7"/>
    <sheet name="Read me"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<sst xmlns="http://schemas.openxmlformats.org/spreadsheetml/2006/main" count="135" uniqueCount="116">
  <si>
    <t xml:space="preserve">PymeWebPro · Client Cost &amp; Revenue Model</t>
  </si>
  <si>
    <t xml:space="preserve">All amounts in Colombian pesos (COP). Blue cells = editable inputs. Black cells = formulas. Green cells = cross-sheet references.</t>
  </si>
  <si>
    <t xml:space="preserve">LLM API PRICING (COP per 1M tokens)</t>
  </si>
  <si>
    <t xml:space="preserve">Anthropic Claude Sonnet 4.6 · input</t>
  </si>
  <si>
    <t xml:space="preserve">Edit if Anthropic pricing or TRM changes</t>
  </si>
  <si>
    <t xml:space="preserve">Anthropic Claude Sonnet 4.6 · output</t>
  </si>
  <si>
    <t xml:space="preserve">Gemini 2.0 Flash · input</t>
  </si>
  <si>
    <t xml:space="preserve">Optional · much cheaper for classification or summarization</t>
  </si>
  <si>
    <t xml:space="preserve">Gemini 2.0 Flash · output</t>
  </si>
  <si>
    <t xml:space="preserve">Optional</t>
  </si>
  <si>
    <t xml:space="preserve">CHAT AGENT · token usage per conversation (Pro clients · site-aware)</t>
  </si>
  <si>
    <t xml:space="preserve">Input tokens / conv</t>
  </si>
  <si>
    <t xml:space="preserve">Site-aware = fetch_page tool returns chunks of client's site content · higher token count</t>
  </si>
  <si>
    <t xml:space="preserve">Output tokens / conv</t>
  </si>
  <si>
    <t xml:space="preserve">% offload to Gemini</t>
  </si>
  <si>
    <t xml:space="preserve">Set 30-60% to cut API cost · use Gemini for classification + content extraction</t>
  </si>
  <si>
    <t xml:space="preserve">DERIVED PER-CONVERSATION API COST (Pro clients)</t>
  </si>
  <si>
    <t xml:space="preserve">Anthropic cost / conv</t>
  </si>
  <si>
    <t xml:space="preserve">Gemini cost / conv</t>
  </si>
  <si>
    <t xml:space="preserve">Total cost / conv</t>
  </si>
  <si>
    <t xml:space="preserve">VOLUME SCENARIOS (conversations / month · Pro clients only)</t>
  </si>
  <si>
    <t xml:space="preserve">Light  (~1 conv/day)</t>
  </si>
  <si>
    <t xml:space="preserve">Medium (~3 conv/day)</t>
  </si>
  <si>
    <t xml:space="preserve">Heavy  (~10 conv/day)</t>
  </si>
  <si>
    <t xml:space="preserve">Power  (~26 conv/day)</t>
  </si>
  <si>
    <t xml:space="preserve">WOMPI (payment processor)</t>
  </si>
  <si>
    <t xml:space="preserve">Wompi · percentage fee</t>
  </si>
  <si>
    <t xml:space="preserve">2.99% of charged amount</t>
  </si>
  <si>
    <t xml:space="preserve">Wompi · fixed per transaction (COP)</t>
  </si>
  <si>
    <t xml:space="preserve">$2.800 COP per approved transaction</t>
  </si>
  <si>
    <t xml:space="preserve">Plans · what each client pays</t>
  </si>
  <si>
    <t xml:space="preserve">Edit blue cells to test pricing. The chat agent is bundled into Pro (not available on Essential).</t>
  </si>
  <si>
    <t xml:space="preserve">Plan</t>
  </si>
  <si>
    <t xml:space="preserve">Plan price (one-time, COP)</t>
  </si>
  <si>
    <t xml:space="preserve">Included period</t>
  </si>
  <si>
    <t xml:space="preserve">Monthly bundle after included (COP)</t>
  </si>
  <si>
    <t xml:space="preserve">Annual prepay (COP)</t>
  </si>
  <si>
    <t xml:space="preserve">Notes</t>
  </si>
  <si>
    <t xml:space="preserve">Essential</t>
  </si>
  <si>
    <t xml:space="preserve">1 month</t>
  </si>
  <si>
    <t xml:space="preserve">Bare website. Hosting + support only. No chat agent. Monthly bundle is just hosting + support.</t>
  </si>
  <si>
    <t xml:space="preserve">Pro</t>
  </si>
  <si>
    <t xml:space="preserve">1 year</t>
  </si>
  <si>
    <t xml:space="preserve">Premium tier. Includes site-aware chat agent + hosting + support, all bundled. After the included year: $100.000 COP/mo OR $1.000.000 COP/yr prepay (2 months free).</t>
  </si>
  <si>
    <t xml:space="preserve">Per-client cost · what each new client costs you in cash</t>
  </si>
  <si>
    <t xml:space="preserve">All cash out, no labor. Cloudflare, D1, KV sit in free tier · $0. The only cost line is Anthropic API (Pro only · Essential clients have no chat agent).</t>
  </si>
  <si>
    <t xml:space="preserve">Volume</t>
  </si>
  <si>
    <t xml:space="preserve">Conv / month</t>
  </si>
  <si>
    <t xml:space="preserve">API cost / month</t>
  </si>
  <si>
    <t xml:space="preserve">Cloudflare / month</t>
  </si>
  <si>
    <t xml:space="preserve">Wompi fee on monthly recurring</t>
  </si>
  <si>
    <t xml:space="preserve">Total cash cost / month</t>
  </si>
  <si>
    <t xml:space="preserve">N/A</t>
  </si>
  <si>
    <t xml:space="preserve">0</t>
  </si>
  <si>
    <t xml:space="preserve">-</t>
  </si>
  <si>
    <t xml:space="preserve">Light</t>
  </si>
  <si>
    <t xml:space="preserve">Medium</t>
  </si>
  <si>
    <t xml:space="preserve">Heavy</t>
  </si>
  <si>
    <t xml:space="preserve">Power</t>
  </si>
  <si>
    <t xml:space="preserve">Notes:</t>
  </si>
  <si>
    <t xml:space="preserve">· Essential clients have no chat agent, so API cost is $0. Their only running cost is hosting which Cloudflare provides free.</t>
  </si>
  <si>
    <t xml:space="preserve">· Pro clients run the chat agent. Cash cost = Anthropic API per conversation. Cloudflare/D1/KV stay free at this scale.</t>
  </si>
  <si>
    <t xml:space="preserve">· Wompi fee shown is the fee on the $20.000 COP monthly hosting charge once the included period ends. The one-time plan-price payment also has a Wompi fee · see the Per-Client Revenue tab.</t>
  </si>
  <si>
    <t xml:space="preserve">Per-client revenue · year 1 vs year 2+</t>
  </si>
  <si>
    <t xml:space="preserve">Year 1 includes the one-time plan payment + any out-of-included-period hosting charges. Year 2+ is steady-state recurring hosting only.</t>
  </si>
  <si>
    <t xml:space="preserve">Year</t>
  </si>
  <si>
    <t xml:space="preserve">Plan price collected</t>
  </si>
  <si>
    <t xml:space="preserve">Hosting months charged</t>
  </si>
  <si>
    <t xml:space="preserve">Hosting revenue</t>
  </si>
  <si>
    <t xml:space="preserve">Wompi fees (total)</t>
  </si>
  <si>
    <t xml:space="preserve">Net revenue received</t>
  </si>
  <si>
    <t xml:space="preserve">Year 1</t>
  </si>
  <si>
    <t xml:space="preserve">Year 2+</t>
  </si>
  <si>
    <t xml:space="preserve">Portfolio model · whole business at N clients</t>
  </si>
  <si>
    <t xml:space="preserve">Enter # clients per plan × volume. Sheet computes monthly recurring economics in steady state (year 2+: clients pay only hosting).</t>
  </si>
  <si>
    <t xml:space="preserve">ESSENTIAL CLIENTS</t>
  </si>
  <si>
    <t xml:space="preserve"># Essential clients</t>
  </si>
  <si>
    <t xml:space="preserve">PRO CLIENTS (by volume)</t>
  </si>
  <si>
    <t xml:space="preserve">Total</t>
  </si>
  <si>
    <t xml:space="preserve"># Pro clients</t>
  </si>
  <si>
    <t xml:space="preserve">STEADY-STATE MONTHLY RECURRING (Year 2+)</t>
  </si>
  <si>
    <t xml:space="preserve">Essential clients</t>
  </si>
  <si>
    <t xml:space="preserve">  Monthly hosting revenue</t>
  </si>
  <si>
    <t xml:space="preserve">  (−) Wompi fees on hosting</t>
  </si>
  <si>
    <t xml:space="preserve">  (=) Net Essential revenue / month</t>
  </si>
  <si>
    <t xml:space="preserve">Pro clients</t>
  </si>
  <si>
    <t xml:space="preserve">  # Pro clients</t>
  </si>
  <si>
    <t xml:space="preserve">  Total Pro conversations / month</t>
  </si>
  <si>
    <t xml:space="preserve">  Monthly bundle revenue (hosting + support + chat)</t>
  </si>
  <si>
    <t xml:space="preserve">  (−) Anthropic API cost</t>
  </si>
  <si>
    <t xml:space="preserve">  (−) Wompi fees on bundle</t>
  </si>
  <si>
    <t xml:space="preserve">  (=) Net Pro revenue / month</t>
  </si>
  <si>
    <t xml:space="preserve">TOTAL net recurring / month (Year 2+ steady state)</t>
  </si>
  <si>
    <t xml:space="preserve">TOTAL net recurring / year (Year 2+)</t>
  </si>
  <si>
    <t xml:space="preserve">YEAR-1 ONE-TIME SIGN-UP REVENUE (if all current clients are new in this year)</t>
  </si>
  <si>
    <t xml:space="preserve">Essential sign-up revenue</t>
  </si>
  <si>
    <t xml:space="preserve">(−) Wompi fees on Essential sign-ups</t>
  </si>
  <si>
    <t xml:space="preserve">Pro sign-up revenue</t>
  </si>
  <si>
    <t xml:space="preserve">(−) Wompi fees on Pro sign-ups</t>
  </si>
  <si>
    <t xml:space="preserve">Total one-time net (year 1 only)</t>
  </si>
  <si>
    <t xml:space="preserve">How to use this model</t>
  </si>
  <si>
    <t xml:space="preserve">Color conventions:</t>
  </si>
  <si>
    <t xml:space="preserve">  · BLUE cells with pale yellow background = editable inputs. Change these to test scenarios.</t>
  </si>
  <si>
    <t xml:space="preserve">  · BLACK cells = local formulas within the sheet.</t>
  </si>
  <si>
    <t xml:space="preserve">  · GREEN cells = references to another sheet in the same workbook.</t>
  </si>
  <si>
    <t xml:space="preserve">Sheets:</t>
  </si>
  <si>
    <t xml:space="preserve">1. Assumptions · Anthropic and Gemini API pricing (COP per 1M tokens), site-aware chat agent token usage per conversation (Pro clients only), the 'percent offloaded to Gemini' lever (cost optimization), conversation volume scenarios, Wompi merchant fees.</t>
  </si>
  <si>
    <t xml:space="preserve">2. Plans · The two plans. Essential = $390.000 COP one-time, 1 month hosting included. Pro = $690.000 COP one-time, 1 year hosting + site-aware chat agent included. After the included hosting period, $20.000 COP/month. Chat agent stays bundled · no separate recurring chat fee in the current model.</t>
  </si>
  <si>
    <t xml:space="preserve">3. Per-Client Cost · Cash cost per client, per month. Essential clients cost you nothing recurring beyond Wompi on hosting. Pro clients cost you Anthropic API by conversation volume, plus the Wompi cut on the hosting charge.</t>
  </si>
  <si>
    <t xml:space="preserve">4. Per-Client Revenue · Year-1 vs Year-2+ economics per client. Year 1: plan price + partial hosting (Essential only). Year 2+: just 12 months of hosting.</t>
  </si>
  <si>
    <t xml:space="preserve">5. Portfolio Model · Enter # of Essential clients and # of Pro clients (split by conversation volume). Steady-state monthly recurring net revenue, annual rollup, and the one-time sign-up revenue if these clients are all new in the current year.</t>
  </si>
  <si>
    <t xml:space="preserve">Levers worth knowing:</t>
  </si>
  <si>
    <t xml:space="preserve">  · '% offload to Gemini' (Assumptions sheet) defaults to 0%. Bumping to 30-50% cuts your Anthropic cost almost in half. Use Gemini Flash for classification, summarization, and site content extraction · keep Claude for the customer-facing replies.</t>
  </si>
  <si>
    <t xml:space="preserve">  · Hosting after included period defaults to $20.000 COP/month. Your actual hosting cost on Cloudflare is approximately $0 (free tier), so hosting recurring revenue is almost pure profit minus the Wompi fee.</t>
  </si>
  <si>
    <t xml:space="preserve">  · Pro clients at heavy chat volume cost more than they bring in on monthly hosting alone. Example: a Pro client at Medium volume (~100 conversations/month) costs ~$66.000 COP/mo in Anthropic API. Monthly hosting revenue is $20.000 COP. So in year 2+ you're net negative on recurring · the $690.000 COP plan price has to amortize over that gap.</t>
  </si>
  <si>
    <t xml:space="preserve">  · If recurring net needs to be positive: bump the monthly Pro fee, cap conversations per month, or add a separate chat agent fee for year 2+ (e.g. $100.000 COP/mo as you mentioned). Easy to model · just raise the Pro 'Monthly hosting after included' value on the Plans sheet, or add a separate input.</t>
  </si>
</sst>
</file>

<file path=xl/styles.xml><?xml version="1.0" encoding="utf-8"?>
<styleSheet xmlns="http://schemas.openxmlformats.org/spreadsheetml/2006/main">
  <numFmts count="6">
    <numFmt numFmtId="164" formatCode="General"/>
    <numFmt numFmtId="165" formatCode="#,##0;\(#,##0\);\-"/>
    <numFmt numFmtId="166" formatCode="0.0%;\(0.0%\);\-"/>
    <numFmt numFmtId="167" formatCode="\$#,##0.00;&quot;($&quot;#,##0.00\);\-"/>
    <numFmt numFmtId="168" formatCode="0.00%"/>
    <numFmt numFmtId="169" formatCode="\$#,##0;&quot;($&quot;#,##0\);\-"/>
  </numFmts>
  <fonts count="13">
    <font>
      <sz val="11"/>
      <color theme="1"/>
      <name val="Calibri"/>
      <family val="2"/>
      <charset val="1"/>
    </font>
    <font>
      <sz val="10"/>
      <name val="Arial"/>
      <family val="0"/>
    </font>
    <font>
      <sz val="10"/>
      <name val="Arial"/>
      <family val="0"/>
    </font>
    <font>
      <sz val="10"/>
      <name val="Arial"/>
      <family val="0"/>
    </font>
    <font>
      <b val="true"/>
      <sz val="14"/>
      <color rgb="FF1B1410"/>
      <name val="Arial"/>
      <family val="0"/>
      <charset val="1"/>
    </font>
    <font>
      <i val="true"/>
      <sz val="9"/>
      <color rgb="FF6B5D52"/>
      <name val="Arial"/>
      <family val="0"/>
      <charset val="1"/>
    </font>
    <font>
      <b val="true"/>
      <sz val="10"/>
      <name val="Arial"/>
      <family val="0"/>
      <charset val="1"/>
    </font>
    <font>
      <sz val="10"/>
      <name val="Arial"/>
      <family val="0"/>
      <charset val="1"/>
    </font>
    <font>
      <sz val="10"/>
      <color rgb="FF0000FF"/>
      <name val="Arial"/>
      <family val="0"/>
      <charset val="1"/>
    </font>
    <font>
      <sz val="10"/>
      <color rgb="FF000000"/>
      <name val="Arial"/>
      <family val="0"/>
      <charset val="1"/>
    </font>
    <font>
      <b val="true"/>
      <sz val="11"/>
      <color rgb="FFFFFFFF"/>
      <name val="Arial"/>
      <family val="0"/>
      <charset val="1"/>
    </font>
    <font>
      <sz val="10"/>
      <color rgb="FF008000"/>
      <name val="Arial"/>
      <family val="0"/>
      <charset val="1"/>
    </font>
    <font>
      <b val="true"/>
      <sz val="10"/>
      <color rgb="FFFFFFFF"/>
      <name val="Arial"/>
      <family val="0"/>
      <charset val="1"/>
    </font>
  </fonts>
  <fills count="8">
    <fill>
      <patternFill patternType="none"/>
    </fill>
    <fill>
      <patternFill patternType="gray125"/>
    </fill>
    <fill>
      <patternFill patternType="solid">
        <fgColor rgb="FFFBF7F0"/>
        <bgColor rgb="FFFFFCE6"/>
      </patternFill>
    </fill>
    <fill>
      <patternFill patternType="solid">
        <fgColor rgb="FFFFFCE6"/>
        <bgColor rgb="FFFBF7F0"/>
      </patternFill>
    </fill>
    <fill>
      <patternFill patternType="solid">
        <fgColor rgb="FFF4ECDF"/>
        <bgColor rgb="FFFBF7F0"/>
      </patternFill>
    </fill>
    <fill>
      <patternFill patternType="solid">
        <fgColor rgb="FF1B1410"/>
        <bgColor rgb="FF000000"/>
      </patternFill>
    </fill>
    <fill>
      <patternFill patternType="solid">
        <fgColor rgb="FFFF5C2E"/>
        <bgColor rgb="FFFF8080"/>
      </patternFill>
    </fill>
    <fill>
      <patternFill patternType="solid">
        <fgColor rgb="FFDCFCE7"/>
        <bgColor rgb="FFFBF7F0"/>
      </patternFill>
    </fill>
  </fills>
  <borders count="2">
    <border diagonalUp="false" diagonalDown="false">
      <left/>
      <right/>
      <top/>
      <bottom/>
      <diagonal/>
    </border>
    <border diagonalUp="false" diagonalDown="false">
      <left style="thin">
        <color rgb="FFD9D2C7"/>
      </left>
      <right style="thin">
        <color rgb="FFD9D2C7"/>
      </right>
      <top style="thin">
        <color rgb="FFD9D2C7"/>
      </top>
      <bottom style="thin">
        <color rgb="FFD9D2C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3" borderId="1" xfId="0" applyFont="true" applyBorder="true" applyAlignment="true" applyProtection="false">
      <alignment horizontal="right"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6" fontId="8" fillId="3" borderId="1" xfId="0" applyFont="true" applyBorder="true" applyAlignment="true" applyProtection="false">
      <alignment horizontal="right" vertical="bottom" textRotation="0" wrapText="false" indent="0" shrinkToFit="false"/>
      <protection locked="true" hidden="false"/>
    </xf>
    <xf numFmtId="167" fontId="9" fillId="0" borderId="1" xfId="0" applyFont="true" applyBorder="true" applyAlignment="true" applyProtection="false">
      <alignment horizontal="right"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7" fontId="6" fillId="4" borderId="1" xfId="0" applyFont="true" applyBorder="true" applyAlignment="true" applyProtection="false">
      <alignment horizontal="right" vertical="bottom" textRotation="0" wrapText="false" indent="0" shrinkToFit="false"/>
      <protection locked="true" hidden="false"/>
    </xf>
    <xf numFmtId="168" fontId="8" fillId="3" borderId="1" xfId="0" applyFont="true" applyBorder="true" applyAlignment="true" applyProtection="false">
      <alignment horizontal="right" vertical="bottom" textRotation="0" wrapText="fals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6" fillId="4" borderId="0" xfId="0" applyFont="true" applyBorder="false" applyAlignment="false" applyProtection="false">
      <alignment horizontal="general" vertical="bottom" textRotation="0" wrapText="false" indent="0" shrinkToFit="false"/>
      <protection locked="true" hidden="false"/>
    </xf>
    <xf numFmtId="169" fontId="8" fillId="3" borderId="1" xfId="0" applyFont="true" applyBorder="true" applyAlignment="true" applyProtection="false">
      <alignment horizontal="right"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9" fontId="9" fillId="0" borderId="1" xfId="0" applyFont="true" applyBorder="true" applyAlignment="true" applyProtection="false">
      <alignment horizontal="right" vertical="bottom" textRotation="0" wrapText="false" indent="0" shrinkToFit="false"/>
      <protection locked="true" hidden="false"/>
    </xf>
    <xf numFmtId="169" fontId="6" fillId="4" borderId="1" xfId="0" applyFont="true" applyBorder="true" applyAlignment="true" applyProtection="false">
      <alignment horizontal="right" vertical="bottom" textRotation="0" wrapText="false" indent="0" shrinkToFit="false"/>
      <protection locked="true" hidden="false"/>
    </xf>
    <xf numFmtId="165" fontId="11" fillId="0" borderId="1" xfId="0" applyFont="true" applyBorder="true" applyAlignment="true" applyProtection="false">
      <alignment horizontal="right" vertical="bottom" textRotation="0" wrapText="false" indent="0" shrinkToFit="false"/>
      <protection locked="true" hidden="false"/>
    </xf>
    <xf numFmtId="167" fontId="11" fillId="0" borderId="1" xfId="0" applyFont="true" applyBorder="true" applyAlignment="true" applyProtection="false">
      <alignment horizontal="right" vertical="bottom" textRotation="0" wrapText="false" indent="0" shrinkToFit="false"/>
      <protection locked="true" hidden="false"/>
    </xf>
    <xf numFmtId="169" fontId="11" fillId="0" borderId="1" xfId="0" applyFont="true" applyBorder="true" applyAlignment="true" applyProtection="false">
      <alignment horizontal="right" vertical="bottom" textRotation="0" wrapText="false" indent="0" shrinkToFit="false"/>
      <protection locked="true" hidden="false"/>
    </xf>
    <xf numFmtId="169" fontId="6" fillId="0" borderId="1" xfId="0" applyFont="true" applyBorder="true" applyAlignment="true" applyProtection="false">
      <alignment horizontal="right" vertical="bottom" textRotation="0" wrapText="false" indent="0" shrinkToFit="false"/>
      <protection locked="true" hidden="false"/>
    </xf>
    <xf numFmtId="164" fontId="10" fillId="5" borderId="0" xfId="0" applyFont="true" applyBorder="true" applyAlignment="false" applyProtection="false">
      <alignment horizontal="general" vertical="bottom" textRotation="0" wrapText="false" indent="0" shrinkToFit="false"/>
      <protection locked="true" hidden="false"/>
    </xf>
    <xf numFmtId="164" fontId="10" fillId="5" borderId="1" xfId="0" applyFont="true" applyBorder="true" applyAlignment="true" applyProtection="false">
      <alignment horizontal="center" vertical="bottom" textRotation="0" wrapText="false" indent="0" shrinkToFit="false"/>
      <protection locked="true" hidden="false"/>
    </xf>
    <xf numFmtId="164" fontId="10" fillId="5" borderId="0" xfId="0" applyFont="true" applyBorder="false" applyAlignment="true" applyProtection="false">
      <alignment horizontal="center" vertical="bottom" textRotation="0" wrapText="false" indent="0" shrinkToFit="false"/>
      <protection locked="true" hidden="false"/>
    </xf>
    <xf numFmtId="165" fontId="6" fillId="0" borderId="1" xfId="0" applyFont="true" applyBorder="true" applyAlignment="true" applyProtection="false">
      <alignment horizontal="right" vertical="bottom" textRotation="0" wrapText="false" indent="0" shrinkToFit="false"/>
      <protection locked="true" hidden="false"/>
    </xf>
    <xf numFmtId="165" fontId="9" fillId="0" borderId="1" xfId="0" applyFont="true" applyBorder="true" applyAlignment="true" applyProtection="false">
      <alignment horizontal="right" vertical="bottom" textRotation="0" wrapText="false" indent="0" shrinkToFit="false"/>
      <protection locked="true" hidden="false"/>
    </xf>
    <xf numFmtId="164" fontId="12" fillId="6" borderId="0" xfId="0" applyFont="true" applyBorder="false" applyAlignment="false" applyProtection="false">
      <alignment horizontal="general" vertical="bottom" textRotation="0" wrapText="false" indent="0" shrinkToFit="false"/>
      <protection locked="true" hidden="false"/>
    </xf>
    <xf numFmtId="169" fontId="12" fillId="6" borderId="1" xfId="0" applyFont="true" applyBorder="true" applyAlignment="true" applyProtection="false">
      <alignment horizontal="right" vertical="bottom" textRotation="0" wrapText="false" indent="0" shrinkToFit="false"/>
      <protection locked="true" hidden="false"/>
    </xf>
    <xf numFmtId="169" fontId="6" fillId="7" borderId="1" xfId="0" applyFont="true" applyBorder="true" applyAlignment="true" applyProtection="false">
      <alignment horizontal="right"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2C7"/>
      <rgbColor rgb="FF808080"/>
      <rgbColor rgb="FF9999FF"/>
      <rgbColor rgb="FF993366"/>
      <rgbColor rgb="FFFFFCE6"/>
      <rgbColor rgb="FFDCFCE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BF7F0"/>
      <rgbColor rgb="FFF4ECDF"/>
      <rgbColor rgb="FFFFFF99"/>
      <rgbColor rgb="FF99CCFF"/>
      <rgbColor rgb="FFFF99CC"/>
      <rgbColor rgb="FFCC99FF"/>
      <rgbColor rgb="FFFFCC99"/>
      <rgbColor rgb="FF3366FF"/>
      <rgbColor rgb="FF33CCCC"/>
      <rgbColor rgb="FF99CC00"/>
      <rgbColor rgb="FFFFCC00"/>
      <rgbColor rgb="FFFF9900"/>
      <rgbColor rgb="FFFF5C2E"/>
      <rgbColor rgb="FF6B5D52"/>
      <rgbColor rgb="FF969696"/>
      <rgbColor rgb="FF003366"/>
      <rgbColor rgb="FF339966"/>
      <rgbColor rgb="FF003300"/>
      <rgbColor rgb="FF1B141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0"/>
    <col collapsed="false" customWidth="true" hidden="false" outlineLevel="0" max="2" min="2" style="0" width="18"/>
    <col collapsed="false" customWidth="true" hidden="false" outlineLevel="0" max="3" min="3" style="0" width="24"/>
  </cols>
  <sheetData>
    <row r="1" customFormat="false" ht="17.35" hidden="false" customHeight="false" outlineLevel="0" collapsed="false">
      <c r="A1" s="1" t="s">
        <v>0</v>
      </c>
      <c r="B1" s="1"/>
      <c r="C1" s="1"/>
      <c r="D1" s="1"/>
    </row>
    <row r="2" customFormat="false" ht="15" hidden="false" customHeight="false" outlineLevel="0" collapsed="false">
      <c r="A2" s="2" t="s">
        <v>1</v>
      </c>
      <c r="B2" s="2"/>
      <c r="C2" s="2"/>
      <c r="D2" s="2"/>
    </row>
    <row r="4" customFormat="false" ht="15" hidden="false" customHeight="false" outlineLevel="0" collapsed="false">
      <c r="A4" s="3" t="s">
        <v>2</v>
      </c>
      <c r="B4" s="3"/>
      <c r="C4" s="3"/>
      <c r="D4" s="3"/>
    </row>
    <row r="5" customFormat="false" ht="15" hidden="false" customHeight="false" outlineLevel="0" collapsed="false">
      <c r="A5" s="4" t="s">
        <v>3</v>
      </c>
      <c r="B5" s="5" t="n">
        <v>12000</v>
      </c>
      <c r="C5" s="6" t="s">
        <v>4</v>
      </c>
    </row>
    <row r="6" customFormat="false" ht="15" hidden="false" customHeight="false" outlineLevel="0" collapsed="false">
      <c r="A6" s="4" t="s">
        <v>5</v>
      </c>
      <c r="B6" s="5" t="n">
        <v>60000</v>
      </c>
      <c r="C6" s="6" t="s">
        <v>4</v>
      </c>
    </row>
    <row r="7" customFormat="false" ht="15" hidden="false" customHeight="false" outlineLevel="0" collapsed="false">
      <c r="A7" s="4" t="s">
        <v>6</v>
      </c>
      <c r="B7" s="5" t="n">
        <v>400</v>
      </c>
      <c r="C7" s="6" t="s">
        <v>7</v>
      </c>
    </row>
    <row r="8" customFormat="false" ht="15" hidden="false" customHeight="false" outlineLevel="0" collapsed="false">
      <c r="A8" s="4" t="s">
        <v>8</v>
      </c>
      <c r="B8" s="5" t="n">
        <v>1600</v>
      </c>
      <c r="C8" s="6" t="s">
        <v>9</v>
      </c>
    </row>
    <row r="10" customFormat="false" ht="15" hidden="false" customHeight="false" outlineLevel="0" collapsed="false">
      <c r="A10" s="3" t="s">
        <v>10</v>
      </c>
      <c r="B10" s="3"/>
      <c r="C10" s="3"/>
      <c r="D10" s="3"/>
    </row>
    <row r="11" customFormat="false" ht="15" hidden="false" customHeight="false" outlineLevel="0" collapsed="false">
      <c r="A11" s="4" t="s">
        <v>11</v>
      </c>
      <c r="B11" s="5" t="n">
        <v>40000</v>
      </c>
      <c r="C11" s="6" t="s">
        <v>12</v>
      </c>
    </row>
    <row r="12" customFormat="false" ht="15" hidden="false" customHeight="false" outlineLevel="0" collapsed="false">
      <c r="A12" s="4" t="s">
        <v>13</v>
      </c>
      <c r="B12" s="5" t="n">
        <v>3000</v>
      </c>
    </row>
    <row r="13" customFormat="false" ht="15" hidden="false" customHeight="false" outlineLevel="0" collapsed="false">
      <c r="A13" s="4" t="s">
        <v>14</v>
      </c>
      <c r="B13" s="7" t="n">
        <v>0</v>
      </c>
      <c r="C13" s="6" t="s">
        <v>15</v>
      </c>
    </row>
    <row r="15" customFormat="false" ht="15" hidden="false" customHeight="false" outlineLevel="0" collapsed="false">
      <c r="A15" s="3" t="s">
        <v>16</v>
      </c>
      <c r="B15" s="3"/>
      <c r="C15" s="3"/>
      <c r="D15" s="3"/>
    </row>
    <row r="16" customFormat="false" ht="15" hidden="false" customHeight="false" outlineLevel="0" collapsed="false">
      <c r="A16" s="4" t="s">
        <v>17</v>
      </c>
      <c r="B16" s="8" t="n">
        <f aca="false">(B11*(1-B13)*B5+B12*(1-B13)*B6)/1000000</f>
        <v>660</v>
      </c>
    </row>
    <row r="17" customFormat="false" ht="15" hidden="false" customHeight="false" outlineLevel="0" collapsed="false">
      <c r="A17" s="4" t="s">
        <v>18</v>
      </c>
      <c r="B17" s="8" t="n">
        <f aca="false">(B11*B13*B7+B12*B13*B8)/1000000</f>
        <v>0</v>
      </c>
    </row>
    <row r="18" customFormat="false" ht="15" hidden="false" customHeight="false" outlineLevel="0" collapsed="false">
      <c r="A18" s="9" t="s">
        <v>19</v>
      </c>
      <c r="B18" s="10" t="n">
        <f aca="false">B16+B17</f>
        <v>660</v>
      </c>
    </row>
    <row r="20" customFormat="false" ht="15" hidden="false" customHeight="false" outlineLevel="0" collapsed="false">
      <c r="A20" s="3" t="s">
        <v>20</v>
      </c>
      <c r="B20" s="3"/>
      <c r="C20" s="3"/>
      <c r="D20" s="3"/>
    </row>
    <row r="21" customFormat="false" ht="15" hidden="false" customHeight="false" outlineLevel="0" collapsed="false">
      <c r="A21" s="4" t="s">
        <v>21</v>
      </c>
      <c r="B21" s="5" t="n">
        <v>30</v>
      </c>
    </row>
    <row r="22" customFormat="false" ht="15" hidden="false" customHeight="false" outlineLevel="0" collapsed="false">
      <c r="A22" s="4" t="s">
        <v>22</v>
      </c>
      <c r="B22" s="5" t="n">
        <v>100</v>
      </c>
    </row>
    <row r="23" customFormat="false" ht="15" hidden="false" customHeight="false" outlineLevel="0" collapsed="false">
      <c r="A23" s="4" t="s">
        <v>23</v>
      </c>
      <c r="B23" s="5" t="n">
        <v>300</v>
      </c>
    </row>
    <row r="24" customFormat="false" ht="15" hidden="false" customHeight="false" outlineLevel="0" collapsed="false">
      <c r="A24" s="4" t="s">
        <v>24</v>
      </c>
      <c r="B24" s="5" t="n">
        <v>800</v>
      </c>
    </row>
    <row r="26" customFormat="false" ht="15" hidden="false" customHeight="false" outlineLevel="0" collapsed="false">
      <c r="A26" s="3" t="s">
        <v>25</v>
      </c>
      <c r="B26" s="3"/>
      <c r="C26" s="3"/>
      <c r="D26" s="3"/>
    </row>
    <row r="27" customFormat="false" ht="15" hidden="false" customHeight="false" outlineLevel="0" collapsed="false">
      <c r="A27" s="4" t="s">
        <v>26</v>
      </c>
      <c r="B27" s="11" t="n">
        <v>0.0299</v>
      </c>
      <c r="C27" s="6" t="s">
        <v>27</v>
      </c>
    </row>
    <row r="28" customFormat="false" ht="15" hidden="false" customHeight="false" outlineLevel="0" collapsed="false">
      <c r="A28" s="4" t="s">
        <v>28</v>
      </c>
      <c r="B28" s="5" t="n">
        <v>2800</v>
      </c>
      <c r="C28" s="6" t="s">
        <v>29</v>
      </c>
    </row>
  </sheetData>
  <mergeCells count="7">
    <mergeCell ref="A1:D1"/>
    <mergeCell ref="A2:D2"/>
    <mergeCell ref="A4:D4"/>
    <mergeCell ref="A10:D10"/>
    <mergeCell ref="A15:D15"/>
    <mergeCell ref="A20:D20"/>
    <mergeCell ref="A26:D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22"/>
    <col collapsed="false" customWidth="true" hidden="false" outlineLevel="0" max="3" min="3" style="0" width="16"/>
    <col collapsed="false" customWidth="true" hidden="false" outlineLevel="0" max="4" min="4" style="0" width="26"/>
    <col collapsed="false" customWidth="true" hidden="false" outlineLevel="0" max="5" min="5" style="0" width="22"/>
    <col collapsed="false" customWidth="true" hidden="false" outlineLevel="0" max="6" min="6" style="0" width="56"/>
  </cols>
  <sheetData>
    <row r="1" customFormat="false" ht="17.35" hidden="false" customHeight="false" outlineLevel="0" collapsed="false">
      <c r="A1" s="1" t="s">
        <v>30</v>
      </c>
      <c r="B1" s="1"/>
      <c r="C1" s="1"/>
      <c r="D1" s="1"/>
      <c r="E1" s="1"/>
      <c r="F1" s="1"/>
    </row>
    <row r="2" customFormat="false" ht="15" hidden="false" customHeight="false" outlineLevel="0" collapsed="false">
      <c r="A2" s="2" t="s">
        <v>31</v>
      </c>
      <c r="B2" s="2"/>
      <c r="C2" s="2"/>
      <c r="D2" s="2"/>
      <c r="E2" s="2"/>
      <c r="F2" s="2"/>
    </row>
    <row r="4" customFormat="false" ht="43.5" hidden="false" customHeight="true" outlineLevel="0" collapsed="false">
      <c r="A4" s="12" t="s">
        <v>32</v>
      </c>
      <c r="B4" s="12" t="s">
        <v>33</v>
      </c>
      <c r="C4" s="12" t="s">
        <v>34</v>
      </c>
      <c r="D4" s="12" t="s">
        <v>35</v>
      </c>
      <c r="E4" s="12" t="s">
        <v>36</v>
      </c>
      <c r="F4" s="12" t="s">
        <v>37</v>
      </c>
    </row>
    <row r="5" customFormat="false" ht="54" hidden="false" customHeight="true" outlineLevel="0" collapsed="false">
      <c r="A5" s="13" t="s">
        <v>38</v>
      </c>
      <c r="B5" s="14" t="n">
        <v>390000</v>
      </c>
      <c r="C5" s="15" t="s">
        <v>39</v>
      </c>
      <c r="D5" s="14" t="n">
        <v>20000</v>
      </c>
      <c r="E5" s="14" t="n">
        <v>200000</v>
      </c>
      <c r="F5" s="16" t="s">
        <v>40</v>
      </c>
    </row>
    <row r="6" customFormat="false" ht="54" hidden="false" customHeight="true" outlineLevel="0" collapsed="false">
      <c r="A6" s="13" t="s">
        <v>41</v>
      </c>
      <c r="B6" s="14" t="n">
        <v>690000</v>
      </c>
      <c r="C6" s="15" t="s">
        <v>42</v>
      </c>
      <c r="D6" s="14" t="n">
        <v>100000</v>
      </c>
      <c r="E6" s="14" t="n">
        <v>1000000</v>
      </c>
      <c r="F6" s="16" t="s">
        <v>43</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1" style="0" width="12"/>
    <col collapsed="false" customWidth="true" hidden="false" outlineLevel="0" max="3" min="3" style="0" width="14"/>
    <col collapsed="false" customWidth="true" hidden="false" outlineLevel="0" max="4" min="4" style="0" width="20"/>
    <col collapsed="false" customWidth="true" hidden="false" outlineLevel="0" max="6" min="5" style="0" width="18"/>
    <col collapsed="false" customWidth="true" hidden="false" outlineLevel="0" max="7" min="7" style="0" width="24"/>
    <col collapsed="false" customWidth="true" hidden="false" outlineLevel="0" max="8" min="8" style="0" width="22"/>
  </cols>
  <sheetData>
    <row r="1" customFormat="false" ht="17.35" hidden="false" customHeight="false" outlineLevel="0" collapsed="false">
      <c r="A1" s="1" t="s">
        <v>44</v>
      </c>
      <c r="B1" s="1"/>
      <c r="C1" s="1"/>
      <c r="D1" s="1"/>
      <c r="E1" s="1"/>
      <c r="F1" s="1"/>
      <c r="G1" s="1"/>
      <c r="H1" s="1"/>
    </row>
    <row r="2" customFormat="false" ht="15" hidden="false" customHeight="false" outlineLevel="0" collapsed="false">
      <c r="A2" s="2" t="s">
        <v>45</v>
      </c>
      <c r="B2" s="2"/>
      <c r="C2" s="2"/>
      <c r="D2" s="2"/>
      <c r="E2" s="2"/>
      <c r="F2" s="2"/>
      <c r="G2" s="2"/>
      <c r="H2" s="2"/>
    </row>
    <row r="4" customFormat="false" ht="37.5" hidden="false" customHeight="true" outlineLevel="0" collapsed="false">
      <c r="A4" s="12" t="s">
        <v>32</v>
      </c>
      <c r="B4" s="12" t="s">
        <v>46</v>
      </c>
      <c r="C4" s="12" t="s">
        <v>47</v>
      </c>
      <c r="D4" s="12" t="s">
        <v>17</v>
      </c>
      <c r="E4" s="12" t="s">
        <v>48</v>
      </c>
      <c r="F4" s="12" t="s">
        <v>49</v>
      </c>
      <c r="G4" s="12" t="s">
        <v>50</v>
      </c>
      <c r="H4" s="12" t="s">
        <v>51</v>
      </c>
    </row>
    <row r="5" customFormat="false" ht="15" hidden="false" customHeight="false" outlineLevel="0" collapsed="false">
      <c r="A5" s="4" t="s">
        <v>38</v>
      </c>
      <c r="B5" s="4" t="s">
        <v>52</v>
      </c>
      <c r="C5" s="4" t="s">
        <v>53</v>
      </c>
      <c r="D5" s="4" t="s">
        <v>54</v>
      </c>
      <c r="E5" s="17" t="n">
        <v>0</v>
      </c>
      <c r="F5" s="17" t="n">
        <v>0</v>
      </c>
      <c r="G5" s="17" t="n">
        <f aca="false">Plans!D5*Assumptions!B27+Assumptions!B28</f>
        <v>3398</v>
      </c>
      <c r="H5" s="18" t="n">
        <f aca="false">E5+F5+G5</f>
        <v>3398</v>
      </c>
    </row>
    <row r="7" customFormat="false" ht="15" hidden="false" customHeight="false" outlineLevel="0" collapsed="false">
      <c r="A7" s="4" t="s">
        <v>41</v>
      </c>
      <c r="B7" s="4" t="s">
        <v>55</v>
      </c>
      <c r="C7" s="19" t="n">
        <f aca="false">Assumptions!B21</f>
        <v>30</v>
      </c>
      <c r="D7" s="20" t="n">
        <f aca="false">Assumptions!B18</f>
        <v>660</v>
      </c>
      <c r="E7" s="17" t="n">
        <f aca="false">C7*D7</f>
        <v>19800</v>
      </c>
      <c r="F7" s="17" t="n">
        <v>0</v>
      </c>
      <c r="G7" s="17" t="n">
        <f aca="false">Plans!D6*Assumptions!B27+Assumptions!B28</f>
        <v>5790</v>
      </c>
      <c r="H7" s="18" t="n">
        <f aca="false">E7+F7+G7</f>
        <v>25590</v>
      </c>
    </row>
    <row r="8" customFormat="false" ht="15" hidden="false" customHeight="false" outlineLevel="0" collapsed="false">
      <c r="A8" s="4" t="s">
        <v>41</v>
      </c>
      <c r="B8" s="4" t="s">
        <v>56</v>
      </c>
      <c r="C8" s="19" t="n">
        <f aca="false">Assumptions!B22</f>
        <v>100</v>
      </c>
      <c r="D8" s="20" t="n">
        <f aca="false">Assumptions!B18</f>
        <v>660</v>
      </c>
      <c r="E8" s="17" t="n">
        <f aca="false">C8*D8</f>
        <v>66000</v>
      </c>
      <c r="F8" s="17" t="n">
        <v>0</v>
      </c>
      <c r="G8" s="17" t="n">
        <f aca="false">Plans!D6*Assumptions!B27+Assumptions!B28</f>
        <v>5790</v>
      </c>
      <c r="H8" s="18" t="n">
        <f aca="false">E8+F8+G8</f>
        <v>71790</v>
      </c>
    </row>
    <row r="9" customFormat="false" ht="15" hidden="false" customHeight="false" outlineLevel="0" collapsed="false">
      <c r="A9" s="4" t="s">
        <v>41</v>
      </c>
      <c r="B9" s="4" t="s">
        <v>57</v>
      </c>
      <c r="C9" s="19" t="n">
        <f aca="false">Assumptions!B23</f>
        <v>300</v>
      </c>
      <c r="D9" s="20" t="n">
        <f aca="false">Assumptions!B18</f>
        <v>660</v>
      </c>
      <c r="E9" s="17" t="n">
        <f aca="false">C9*D9</f>
        <v>198000</v>
      </c>
      <c r="F9" s="17" t="n">
        <v>0</v>
      </c>
      <c r="G9" s="17" t="n">
        <f aca="false">Plans!D6*Assumptions!B27+Assumptions!B28</f>
        <v>5790</v>
      </c>
      <c r="H9" s="18" t="n">
        <f aca="false">E9+F9+G9</f>
        <v>203790</v>
      </c>
    </row>
    <row r="10" customFormat="false" ht="15" hidden="false" customHeight="false" outlineLevel="0" collapsed="false">
      <c r="A10" s="4" t="s">
        <v>41</v>
      </c>
      <c r="B10" s="4" t="s">
        <v>58</v>
      </c>
      <c r="C10" s="19" t="n">
        <f aca="false">Assumptions!B24</f>
        <v>800</v>
      </c>
      <c r="D10" s="20" t="n">
        <f aca="false">Assumptions!B18</f>
        <v>660</v>
      </c>
      <c r="E10" s="17" t="n">
        <f aca="false">C10*D10</f>
        <v>528000</v>
      </c>
      <c r="F10" s="17" t="n">
        <v>0</v>
      </c>
      <c r="G10" s="17" t="n">
        <f aca="false">Plans!D6*Assumptions!B27+Assumptions!B28</f>
        <v>5790</v>
      </c>
      <c r="H10" s="18" t="n">
        <f aca="false">E10+F10+G10</f>
        <v>533790</v>
      </c>
    </row>
    <row r="12" customFormat="false" ht="15" hidden="false" customHeight="false" outlineLevel="0" collapsed="false">
      <c r="A12" s="9" t="s">
        <v>59</v>
      </c>
    </row>
    <row r="13" customFormat="false" ht="15" hidden="false" customHeight="false" outlineLevel="0" collapsed="false">
      <c r="A13" s="2" t="s">
        <v>60</v>
      </c>
      <c r="B13" s="2"/>
      <c r="C13" s="2"/>
      <c r="D13" s="2"/>
      <c r="E13" s="2"/>
      <c r="F13" s="2"/>
      <c r="G13" s="2"/>
      <c r="H13" s="2"/>
    </row>
    <row r="14" customFormat="false" ht="15" hidden="false" customHeight="false" outlineLevel="0" collapsed="false">
      <c r="A14" s="2" t="s">
        <v>61</v>
      </c>
      <c r="B14" s="2"/>
      <c r="C14" s="2"/>
      <c r="D14" s="2"/>
      <c r="E14" s="2"/>
      <c r="F14" s="2"/>
      <c r="G14" s="2"/>
      <c r="H14" s="2"/>
    </row>
    <row r="15" customFormat="false" ht="15" hidden="false" customHeight="false" outlineLevel="0" collapsed="false">
      <c r="A15" s="2" t="s">
        <v>62</v>
      </c>
      <c r="B15" s="2"/>
      <c r="C15" s="2"/>
      <c r="D15" s="2"/>
      <c r="E15" s="2"/>
      <c r="F15" s="2"/>
      <c r="G15" s="2"/>
      <c r="H15" s="2"/>
    </row>
  </sheetData>
  <mergeCells count="5">
    <mergeCell ref="A1:H1"/>
    <mergeCell ref="A2:H2"/>
    <mergeCell ref="A13:H13"/>
    <mergeCell ref="A14:H14"/>
    <mergeCell ref="A15:H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4" min="3" style="0" width="22"/>
    <col collapsed="false" customWidth="true" hidden="false" outlineLevel="0" max="5" min="5" style="0" width="18"/>
    <col collapsed="false" customWidth="true" hidden="false" outlineLevel="0" max="7" min="6" style="0" width="22"/>
  </cols>
  <sheetData>
    <row r="1" customFormat="false" ht="17.35" hidden="false" customHeight="false" outlineLevel="0" collapsed="false">
      <c r="A1" s="1" t="s">
        <v>63</v>
      </c>
      <c r="B1" s="1"/>
      <c r="C1" s="1"/>
      <c r="D1" s="1"/>
      <c r="E1" s="1"/>
      <c r="F1" s="1"/>
      <c r="G1" s="1"/>
    </row>
    <row r="2" customFormat="false" ht="15" hidden="false" customHeight="false" outlineLevel="0" collapsed="false">
      <c r="A2" s="2" t="s">
        <v>64</v>
      </c>
      <c r="B2" s="2"/>
      <c r="C2" s="2"/>
      <c r="D2" s="2"/>
      <c r="E2" s="2"/>
      <c r="F2" s="2"/>
      <c r="G2" s="2"/>
    </row>
    <row r="4" customFormat="false" ht="36" hidden="false" customHeight="true" outlineLevel="0" collapsed="false">
      <c r="A4" s="12" t="s">
        <v>32</v>
      </c>
      <c r="B4" s="12" t="s">
        <v>65</v>
      </c>
      <c r="C4" s="12" t="s">
        <v>66</v>
      </c>
      <c r="D4" s="12" t="s">
        <v>67</v>
      </c>
      <c r="E4" s="12" t="s">
        <v>68</v>
      </c>
      <c r="F4" s="12" t="s">
        <v>69</v>
      </c>
      <c r="G4" s="12" t="s">
        <v>70</v>
      </c>
    </row>
    <row r="5" customFormat="false" ht="15" hidden="false" customHeight="false" outlineLevel="0" collapsed="false">
      <c r="A5" s="4" t="s">
        <v>38</v>
      </c>
      <c r="B5" s="4" t="s">
        <v>71</v>
      </c>
      <c r="C5" s="21" t="n">
        <f aca="false">Plans!B5</f>
        <v>390000</v>
      </c>
      <c r="D5" s="5" t="n">
        <v>11</v>
      </c>
      <c r="E5" s="17" t="n">
        <f aca="false">D5*Plans!D5</f>
        <v>220000</v>
      </c>
      <c r="F5" s="17" t="n">
        <f aca="false">(Plans!B5*Assumptions!B27+Assumptions!B28)+D5*(Plans!D5*Assumptions!B27+Assumptions!B28)</f>
        <v>51839</v>
      </c>
      <c r="G5" s="22" t="n">
        <f aca="false">C5+E5-F5</f>
        <v>558161</v>
      </c>
    </row>
    <row r="6" customFormat="false" ht="15" hidden="false" customHeight="false" outlineLevel="0" collapsed="false">
      <c r="A6" s="4" t="s">
        <v>38</v>
      </c>
      <c r="B6" s="4" t="s">
        <v>72</v>
      </c>
      <c r="C6" s="17" t="n">
        <v>0</v>
      </c>
      <c r="D6" s="5" t="n">
        <v>12</v>
      </c>
      <c r="E6" s="17" t="n">
        <f aca="false">D6*Plans!D5</f>
        <v>240000</v>
      </c>
      <c r="F6" s="17" t="n">
        <f aca="false">D6*(Plans!D5*Assumptions!B27+Assumptions!B28)</f>
        <v>40776</v>
      </c>
      <c r="G6" s="22" t="n">
        <f aca="false">C6+E6-F6</f>
        <v>199224</v>
      </c>
    </row>
    <row r="8" customFormat="false" ht="15" hidden="false" customHeight="false" outlineLevel="0" collapsed="false">
      <c r="A8" s="4" t="s">
        <v>41</v>
      </c>
      <c r="B8" s="4" t="s">
        <v>71</v>
      </c>
      <c r="C8" s="21" t="n">
        <f aca="false">Plans!B6</f>
        <v>690000</v>
      </c>
      <c r="D8" s="5" t="n">
        <v>0</v>
      </c>
      <c r="E8" s="17" t="n">
        <f aca="false">D8*Plans!D6</f>
        <v>0</v>
      </c>
      <c r="F8" s="17" t="n">
        <f aca="false">(Plans!B6*Assumptions!B27+Assumptions!B28)+D8*(Plans!D6*Assumptions!B27+Assumptions!B28)</f>
        <v>23431</v>
      </c>
      <c r="G8" s="22" t="n">
        <f aca="false">C8+E8-F8</f>
        <v>666569</v>
      </c>
    </row>
    <row r="9" customFormat="false" ht="15" hidden="false" customHeight="false" outlineLevel="0" collapsed="false">
      <c r="A9" s="4" t="s">
        <v>41</v>
      </c>
      <c r="B9" s="4" t="s">
        <v>72</v>
      </c>
      <c r="C9" s="17" t="n">
        <v>0</v>
      </c>
      <c r="D9" s="5" t="n">
        <v>12</v>
      </c>
      <c r="E9" s="17" t="n">
        <f aca="false">D9*Plans!D6</f>
        <v>1200000</v>
      </c>
      <c r="F9" s="17" t="n">
        <f aca="false">D9*(Plans!D6*Assumptions!B27+Assumptions!B28)</f>
        <v>69480</v>
      </c>
      <c r="G9" s="22" t="n">
        <f aca="false">C9+E9-F9</f>
        <v>1130520</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0"/>
    <col collapsed="false" customWidth="true" hidden="false" outlineLevel="0" max="2" min="2" style="0" width="22"/>
    <col collapsed="false" customWidth="true" hidden="false" outlineLevel="0" max="6" min="3" style="0" width="14"/>
  </cols>
  <sheetData>
    <row r="1" customFormat="false" ht="17.35" hidden="false" customHeight="false" outlineLevel="0" collapsed="false">
      <c r="A1" s="1" t="s">
        <v>73</v>
      </c>
      <c r="B1" s="1"/>
      <c r="C1" s="1"/>
      <c r="D1" s="1"/>
      <c r="E1" s="1"/>
      <c r="F1" s="1"/>
      <c r="G1" s="1"/>
      <c r="H1" s="1"/>
    </row>
    <row r="2" customFormat="false" ht="15" hidden="false" customHeight="false" outlineLevel="0" collapsed="false">
      <c r="A2" s="2" t="s">
        <v>74</v>
      </c>
      <c r="B2" s="2"/>
      <c r="C2" s="2"/>
      <c r="D2" s="2"/>
      <c r="E2" s="2"/>
      <c r="F2" s="2"/>
      <c r="G2" s="2"/>
      <c r="H2" s="2"/>
    </row>
    <row r="4" customFormat="false" ht="15" hidden="false" customHeight="false" outlineLevel="0" collapsed="false">
      <c r="A4" s="23" t="s">
        <v>75</v>
      </c>
      <c r="B4" s="23"/>
      <c r="C4" s="23"/>
      <c r="D4" s="23"/>
      <c r="E4" s="23"/>
      <c r="F4" s="23"/>
      <c r="G4" s="23"/>
      <c r="H4" s="23"/>
    </row>
    <row r="5" customFormat="false" ht="15" hidden="false" customHeight="false" outlineLevel="0" collapsed="false">
      <c r="A5" s="4" t="s">
        <v>76</v>
      </c>
      <c r="B5" s="5" t="n">
        <v>10</v>
      </c>
    </row>
    <row r="7" customFormat="false" ht="15" hidden="false" customHeight="false" outlineLevel="0" collapsed="false">
      <c r="A7" s="23" t="s">
        <v>77</v>
      </c>
      <c r="B7" s="23"/>
      <c r="C7" s="23"/>
      <c r="D7" s="23"/>
      <c r="E7" s="23"/>
      <c r="F7" s="23"/>
      <c r="G7" s="23"/>
      <c r="H7" s="23"/>
    </row>
    <row r="8" customFormat="false" ht="15" hidden="false" customHeight="false" outlineLevel="0" collapsed="false">
      <c r="A8" s="4"/>
      <c r="B8" s="24" t="s">
        <v>55</v>
      </c>
      <c r="C8" s="24" t="s">
        <v>56</v>
      </c>
      <c r="D8" s="24" t="s">
        <v>57</v>
      </c>
      <c r="E8" s="24" t="s">
        <v>58</v>
      </c>
      <c r="F8" s="25" t="s">
        <v>78</v>
      </c>
    </row>
    <row r="9" customFormat="false" ht="15" hidden="false" customHeight="false" outlineLevel="0" collapsed="false">
      <c r="A9" s="4" t="s">
        <v>79</v>
      </c>
      <c r="B9" s="5" t="n">
        <v>3</v>
      </c>
      <c r="C9" s="5" t="n">
        <v>4</v>
      </c>
      <c r="D9" s="5" t="n">
        <v>1</v>
      </c>
      <c r="E9" s="5" t="n">
        <v>0</v>
      </c>
      <c r="F9" s="26" t="n">
        <f aca="false">SUM(B9:E9)</f>
        <v>8</v>
      </c>
    </row>
    <row r="12" customFormat="false" ht="15" hidden="false" customHeight="false" outlineLevel="0" collapsed="false">
      <c r="A12" s="3" t="s">
        <v>80</v>
      </c>
      <c r="B12" s="3"/>
      <c r="C12" s="3"/>
      <c r="D12" s="3"/>
      <c r="E12" s="3"/>
      <c r="F12" s="3"/>
    </row>
    <row r="13" customFormat="false" ht="15" hidden="false" customHeight="false" outlineLevel="0" collapsed="false">
      <c r="A13" s="13" t="s">
        <v>81</v>
      </c>
    </row>
    <row r="14" customFormat="false" ht="15" hidden="false" customHeight="false" outlineLevel="0" collapsed="false">
      <c r="A14" s="4" t="s">
        <v>82</v>
      </c>
      <c r="B14" s="17" t="n">
        <f aca="false">B5*Plans!D5</f>
        <v>200000</v>
      </c>
    </row>
    <row r="15" customFormat="false" ht="15" hidden="false" customHeight="false" outlineLevel="0" collapsed="false">
      <c r="A15" s="4" t="s">
        <v>83</v>
      </c>
      <c r="B15" s="17" t="n">
        <f aca="false">-B5*(Plans!D5*Assumptions!B27+Assumptions!B28)</f>
        <v>-33980</v>
      </c>
    </row>
    <row r="16" customFormat="false" ht="15" hidden="false" customHeight="false" outlineLevel="0" collapsed="false">
      <c r="A16" s="9" t="s">
        <v>84</v>
      </c>
      <c r="B16" s="22" t="n">
        <f aca="false">B14+B15</f>
        <v>166020</v>
      </c>
    </row>
    <row r="18" customFormat="false" ht="15" hidden="false" customHeight="false" outlineLevel="0" collapsed="false">
      <c r="A18" s="13" t="s">
        <v>85</v>
      </c>
    </row>
    <row r="19" customFormat="false" ht="15" hidden="false" customHeight="false" outlineLevel="0" collapsed="false">
      <c r="A19" s="4" t="s">
        <v>86</v>
      </c>
      <c r="B19" s="27" t="n">
        <f aca="false">F9</f>
        <v>8</v>
      </c>
    </row>
    <row r="20" customFormat="false" ht="15" hidden="false" customHeight="false" outlineLevel="0" collapsed="false">
      <c r="A20" s="4" t="s">
        <v>87</v>
      </c>
      <c r="B20" s="27" t="n">
        <f aca="false">B9*Assumptions!B21+C9*Assumptions!B22+D9*Assumptions!B23+E9*Assumptions!B24</f>
        <v>790</v>
      </c>
    </row>
    <row r="21" customFormat="false" ht="15" hidden="false" customHeight="false" outlineLevel="0" collapsed="false">
      <c r="A21" s="4" t="s">
        <v>88</v>
      </c>
      <c r="B21" s="17" t="n">
        <f aca="false">F9*Plans!D6</f>
        <v>800000</v>
      </c>
    </row>
    <row r="22" customFormat="false" ht="15" hidden="false" customHeight="false" outlineLevel="0" collapsed="false">
      <c r="A22" s="4" t="s">
        <v>89</v>
      </c>
      <c r="B22" s="17" t="n">
        <f aca="false">-B20*Assumptions!B18</f>
        <v>-521400</v>
      </c>
    </row>
    <row r="23" customFormat="false" ht="15" hidden="false" customHeight="false" outlineLevel="0" collapsed="false">
      <c r="A23" s="4" t="s">
        <v>90</v>
      </c>
      <c r="B23" s="17" t="n">
        <f aca="false">-F9*(Plans!D6*Assumptions!B27+Assumptions!B28)</f>
        <v>-46320</v>
      </c>
    </row>
    <row r="24" customFormat="false" ht="15" hidden="false" customHeight="false" outlineLevel="0" collapsed="false">
      <c r="A24" s="9" t="s">
        <v>91</v>
      </c>
      <c r="B24" s="22" t="n">
        <f aca="false">B21+B22+B23</f>
        <v>232280</v>
      </c>
    </row>
    <row r="26" customFormat="false" ht="15" hidden="false" customHeight="false" outlineLevel="0" collapsed="false">
      <c r="A26" s="28" t="s">
        <v>92</v>
      </c>
      <c r="B26" s="29" t="n">
        <f aca="false">B16+B24</f>
        <v>398300</v>
      </c>
    </row>
    <row r="27" customFormat="false" ht="15" hidden="false" customHeight="false" outlineLevel="0" collapsed="false">
      <c r="A27" s="28" t="s">
        <v>93</v>
      </c>
      <c r="B27" s="29" t="n">
        <f aca="false">B26*12</f>
        <v>4779600</v>
      </c>
    </row>
    <row r="29" customFormat="false" ht="15" hidden="false" customHeight="false" outlineLevel="0" collapsed="false">
      <c r="A29" s="3" t="s">
        <v>94</v>
      </c>
      <c r="B29" s="3"/>
      <c r="C29" s="3"/>
      <c r="D29" s="3"/>
      <c r="E29" s="3"/>
      <c r="F29" s="3"/>
    </row>
    <row r="30" customFormat="false" ht="15" hidden="false" customHeight="false" outlineLevel="0" collapsed="false">
      <c r="A30" s="4" t="s">
        <v>95</v>
      </c>
      <c r="B30" s="17" t="n">
        <f aca="false">B5*Plans!B5</f>
        <v>3900000</v>
      </c>
    </row>
    <row r="31" customFormat="false" ht="15" hidden="false" customHeight="false" outlineLevel="0" collapsed="false">
      <c r="A31" s="4" t="s">
        <v>96</v>
      </c>
      <c r="B31" s="17" t="n">
        <f aca="false">-B5*(Plans!B5*Assumptions!B27+Assumptions!B28)</f>
        <v>-144610</v>
      </c>
    </row>
    <row r="32" customFormat="false" ht="15" hidden="false" customHeight="false" outlineLevel="0" collapsed="false">
      <c r="A32" s="4" t="s">
        <v>97</v>
      </c>
      <c r="B32" s="17" t="n">
        <f aca="false">F9*Plans!B6</f>
        <v>5520000</v>
      </c>
    </row>
    <row r="33" customFormat="false" ht="15" hidden="false" customHeight="false" outlineLevel="0" collapsed="false">
      <c r="A33" s="4" t="s">
        <v>98</v>
      </c>
      <c r="B33" s="17" t="n">
        <f aca="false">-F9*(Plans!B6*Assumptions!B27+Assumptions!B28)</f>
        <v>-187448</v>
      </c>
    </row>
    <row r="34" customFormat="false" ht="15" hidden="false" customHeight="false" outlineLevel="0" collapsed="false">
      <c r="A34" s="9" t="s">
        <v>99</v>
      </c>
      <c r="B34" s="30" t="n">
        <f aca="false">SUM(B30:B33)</f>
        <v>9087942</v>
      </c>
    </row>
  </sheetData>
  <mergeCells count="6">
    <mergeCell ref="A1:H1"/>
    <mergeCell ref="A2:H2"/>
    <mergeCell ref="A4:H4"/>
    <mergeCell ref="A7:H7"/>
    <mergeCell ref="A12:F12"/>
    <mergeCell ref="A29:F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20"/>
  </cols>
  <sheetData>
    <row r="1" customFormat="false" ht="17.35" hidden="false" customHeight="false" outlineLevel="0" collapsed="false">
      <c r="A1" s="31" t="s">
        <v>100</v>
      </c>
    </row>
    <row r="2" customFormat="false" ht="15" hidden="false" customHeight="false" outlineLevel="0" collapsed="false">
      <c r="A2" s="32"/>
    </row>
    <row r="3" customFormat="false" ht="15" hidden="false" customHeight="false" outlineLevel="0" collapsed="false">
      <c r="A3" s="33" t="s">
        <v>101</v>
      </c>
    </row>
    <row r="4" customFormat="false" ht="15" hidden="false" customHeight="false" outlineLevel="0" collapsed="false">
      <c r="A4" s="32" t="s">
        <v>102</v>
      </c>
    </row>
    <row r="5" customFormat="false" ht="15" hidden="false" customHeight="false" outlineLevel="0" collapsed="false">
      <c r="A5" s="32" t="s">
        <v>103</v>
      </c>
    </row>
    <row r="6" customFormat="false" ht="15" hidden="false" customHeight="false" outlineLevel="0" collapsed="false">
      <c r="A6" s="32" t="s">
        <v>104</v>
      </c>
    </row>
    <row r="7" customFormat="false" ht="15" hidden="false" customHeight="false" outlineLevel="0" collapsed="false">
      <c r="A7" s="32"/>
    </row>
    <row r="8" customFormat="false" ht="15" hidden="false" customHeight="false" outlineLevel="0" collapsed="false">
      <c r="A8" s="33" t="s">
        <v>105</v>
      </c>
    </row>
    <row r="9" customFormat="false" ht="15" hidden="false" customHeight="false" outlineLevel="0" collapsed="false">
      <c r="A9" s="32"/>
    </row>
    <row r="10" customFormat="false" ht="23.85" hidden="false" customHeight="false" outlineLevel="0" collapsed="false">
      <c r="A10" s="33" t="s">
        <v>106</v>
      </c>
    </row>
    <row r="11" customFormat="false" ht="15" hidden="false" customHeight="false" outlineLevel="0" collapsed="false">
      <c r="A11" s="32"/>
    </row>
    <row r="12" customFormat="false" ht="35.05" hidden="false" customHeight="false" outlineLevel="0" collapsed="false">
      <c r="A12" s="33" t="s">
        <v>107</v>
      </c>
    </row>
    <row r="13" customFormat="false" ht="15" hidden="false" customHeight="false" outlineLevel="0" collapsed="false">
      <c r="A13" s="32"/>
    </row>
    <row r="14" customFormat="false" ht="23.85" hidden="false" customHeight="false" outlineLevel="0" collapsed="false">
      <c r="A14" s="33" t="s">
        <v>108</v>
      </c>
    </row>
    <row r="15" customFormat="false" ht="15" hidden="false" customHeight="false" outlineLevel="0" collapsed="false">
      <c r="A15" s="32"/>
    </row>
    <row r="16" customFormat="false" ht="23.85" hidden="false" customHeight="false" outlineLevel="0" collapsed="false">
      <c r="A16" s="33" t="s">
        <v>109</v>
      </c>
    </row>
    <row r="17" customFormat="false" ht="15" hidden="false" customHeight="false" outlineLevel="0" collapsed="false">
      <c r="A17" s="32"/>
    </row>
    <row r="18" customFormat="false" ht="23.85" hidden="false" customHeight="false" outlineLevel="0" collapsed="false">
      <c r="A18" s="33" t="s">
        <v>110</v>
      </c>
    </row>
    <row r="19" customFormat="false" ht="15" hidden="false" customHeight="false" outlineLevel="0" collapsed="false">
      <c r="A19" s="32"/>
    </row>
    <row r="20" customFormat="false" ht="15" hidden="false" customHeight="false" outlineLevel="0" collapsed="false">
      <c r="A20" s="33" t="s">
        <v>111</v>
      </c>
    </row>
    <row r="21" customFormat="false" ht="15" hidden="false" customHeight="false" outlineLevel="0" collapsed="false">
      <c r="A21" s="32"/>
    </row>
    <row r="22" customFormat="false" ht="23.85" hidden="false" customHeight="false" outlineLevel="0" collapsed="false">
      <c r="A22" s="32" t="s">
        <v>112</v>
      </c>
    </row>
    <row r="23" customFormat="false" ht="15" hidden="false" customHeight="false" outlineLevel="0" collapsed="false">
      <c r="A23" s="32"/>
    </row>
    <row r="24" customFormat="false" ht="23.85" hidden="false" customHeight="false" outlineLevel="0" collapsed="false">
      <c r="A24" s="32" t="s">
        <v>113</v>
      </c>
    </row>
    <row r="25" customFormat="false" ht="15" hidden="false" customHeight="false" outlineLevel="0" collapsed="false">
      <c r="A25" s="32"/>
    </row>
    <row r="26" customFormat="false" ht="35.05" hidden="false" customHeight="false" outlineLevel="0" collapsed="false">
      <c r="A26" s="32" t="s">
        <v>114</v>
      </c>
    </row>
    <row r="27" customFormat="false" ht="15" hidden="false" customHeight="false" outlineLevel="0" collapsed="false">
      <c r="A27" s="32"/>
    </row>
    <row r="28" customFormat="false" ht="35.05" hidden="false" customHeight="false" outlineLevel="0" collapsed="false">
      <c r="A28" s="32" t="s">
        <v>115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2026-05-19T00:33:42Z</dcterms:created>
  <dc:creator>openpyxl</dc:creator>
  <dc:description/>
  <dc:language>en-US</dc:language>
  <cp:lastModifiedBy/>
  <dcterms:modified xsi:type="dcterms:W3CDTF">2026-05-19T00:33:42Z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