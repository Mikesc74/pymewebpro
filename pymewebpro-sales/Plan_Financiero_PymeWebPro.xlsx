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Unit Economic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<sst xmlns="http://schemas.openxmlformats.org/spreadsheetml/2006/main" count="168" uniqueCount="166">
  <si>
    <t xml:space="preserve">PymeWebPro · Financial Plan · Assumptions</t>
  </si>
  <si>
    <t xml:space="preserve">All amounts in COP. Yellow cells are editable inputs.</t>
  </si>
  <si>
    <t xml:space="preserve">Sales volume</t>
  </si>
  <si>
    <t xml:space="preserve">Page sales per month (units)</t>
  </si>
  <si>
    <t xml:space="preserve">Base assumption from user</t>
  </si>
  <si>
    <t xml:space="preserve">Attach rate on Plan de ventas</t>
  </si>
  <si>
    <t xml:space="preserve">100% take MRR; change to model upsell rate</t>
  </si>
  <si>
    <t xml:space="preserve">Monthly churn (active customers)</t>
  </si>
  <si>
    <t xml:space="preserve">Set to 0 for base case; raise for cancellations</t>
  </si>
  <si>
    <t xml:space="preserve">Pricing (IVA included, customer-facing)</t>
  </si>
  <si>
    <t xml:space="preserve">Page price one-time</t>
  </si>
  <si>
    <t xml:space="preserve">Includes Ficha de Google Business</t>
  </si>
  <si>
    <t xml:space="preserve">Plan de ventas MRR</t>
  </si>
  <si>
    <t xml:space="preserve">Chatbot + catalog + monthly report</t>
  </si>
  <si>
    <t xml:space="preserve">IVA rate</t>
  </si>
  <si>
    <t xml:space="preserve">Colombia VAT, pass-through to DIAN</t>
  </si>
  <si>
    <t xml:space="preserve">Sales commissions (paid to contractor)</t>
  </si>
  <si>
    <t xml:space="preserve">One-time on page sale</t>
  </si>
  <si>
    <t xml:space="preserve">Per contract clause 4</t>
  </si>
  <si>
    <t xml:space="preserve">Recurring on MRR</t>
  </si>
  <si>
    <t xml:space="preserve">Recurring duration (months)</t>
  </si>
  <si>
    <t xml:space="preserve">Cap on recurring commission per customer</t>
  </si>
  <si>
    <t xml:space="preserve">Retefuente withheld (info only)</t>
  </si>
  <si>
    <t xml:space="preserve">Withheld from commission, remitted to DIAN, neutral to NSC</t>
  </si>
  <si>
    <t xml:space="preserve">Wompi payment processing</t>
  </si>
  <si>
    <t xml:space="preserve">Wompi % per transaction</t>
  </si>
  <si>
    <t xml:space="preserve">Card rate; PSE is ~1.79%</t>
  </si>
  <si>
    <t xml:space="preserve">Wompi flat fee per transaction (COP)</t>
  </si>
  <si>
    <t xml:space="preserve">Per transaction, before IVA</t>
  </si>
  <si>
    <t xml:space="preserve">IVA on Wompi fees</t>
  </si>
  <si>
    <t xml:space="preserve">Wompi charges 19% IVA on its fee</t>
  </si>
  <si>
    <t xml:space="preserve">Colombian taxes (company side)</t>
  </si>
  <si>
    <t xml:space="preserve">ICA Medellín (services)</t>
  </si>
  <si>
    <t xml:space="preserve">~7 per thousand on services revenue</t>
  </si>
  <si>
    <t xml:space="preserve">Corporate income tax (renta)</t>
  </si>
  <si>
    <t xml:space="preserve">Annual; applied to monthly operating profit here</t>
  </si>
  <si>
    <t xml:space="preserve">Fixed monthly infrastructure</t>
  </si>
  <si>
    <t xml:space="preserve">Cloudflare Workers paid plan</t>
  </si>
  <si>
    <t xml:space="preserve">$5 USD at ~$4.000/USD</t>
  </si>
  <si>
    <t xml:space="preserve">Anthropic API (Valentina agent)</t>
  </si>
  <si>
    <t xml:space="preserve">Estimate at low volume, prompt-cached</t>
  </si>
  <si>
    <t xml:space="preserve">Gemini API (history compression)</t>
  </si>
  <si>
    <t xml:space="preserve">Cheap compression model</t>
  </si>
  <si>
    <t xml:space="preserve">Resend (transactional email)</t>
  </si>
  <si>
    <t xml:space="preserve">$20 USD</t>
  </si>
  <si>
    <t xml:space="preserve">Domain renewals (amortized)</t>
  </si>
  <si>
    <t xml:space="preserve">pymewebpro.com + subdomains</t>
  </si>
  <si>
    <t xml:space="preserve">D1 / Pages / KV</t>
  </si>
  <si>
    <t xml:space="preserve">Free tiers cover current volume</t>
  </si>
  <si>
    <t xml:space="preserve">Fixed monthly admin</t>
  </si>
  <si>
    <t xml:space="preserve">Contador (accounting, allocated to PWP)</t>
  </si>
  <si>
    <t xml:space="preserve">Shared with NSC umbrella; allocate portion</t>
  </si>
  <si>
    <t xml:space="preserve">Cámara de Comercio renewal (amortized)</t>
  </si>
  <si>
    <t xml:space="preserve">~$300k annual / 12</t>
  </si>
  <si>
    <t xml:space="preserve">Bank fees, miscellaneous</t>
  </si>
  <si>
    <t xml:space="preserve">Buffer for misc admin</t>
  </si>
  <si>
    <t xml:space="preserve">PymeWebPro · 24-Month Operating Plan (COP)</t>
  </si>
  <si>
    <t xml:space="preserve">Line item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</si>
  <si>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</si>
  <si>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</si>
  <si>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</si>
  <si>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</si>
  <si>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</si>
  <si>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</si>
  <si>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</si>
  <si>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</si>
  <si>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</si>
  <si>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</si>
  <si>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</si>
  <si>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</si>
  <si>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</si>
  <si>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</si>
  <si>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</si>
  <si>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</si>
  <si>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</si>
  <si>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</si>
  <si>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</si>
  <si>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</si>
  <si>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</si>
  <si>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</si>
  <si>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</si>
  <si>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</si>
  <si>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New page sales (units)</t>
  </si>
  <si>
    <t xml:space="preserve">New MRR customers (units)</t>
  </si>
  <si>
    <t xml:space="preserve">Active MRR customers (cumulative)</t>
  </si>
  <si>
    <t xml:space="preserve">Customers in commission window (last 12mo)</t>
  </si>
  <si>
    <t xml:space="preserve">REVENUE (IVA included)</t>
  </si>
  <si>
    <t xml:space="preserve">Page revenue (gross)</t>
  </si>
  <si>
    <t xml:space="preserve">MRR revenue (gross)</t>
  </si>
  <si>
    <t xml:space="preserve">Total gross revenue</t>
  </si>
  <si>
    <t xml:space="preserve">Less: IVA payable to DIAN</t>
  </si>
  <si>
    <t xml:space="preserve">Net revenue (ex-IVA)</t>
  </si>
  <si>
    <t xml:space="preserve">VARIABLE COSTS</t>
  </si>
  <si>
    <t xml:space="preserve">Seller commission · one-time (20% × page)</t>
  </si>
  <si>
    <t xml:space="preserve">Seller commission · recurring (10% × MRR, 12mo)</t>
  </si>
  <si>
    <t xml:space="preserve">Wompi · page transactions</t>
  </si>
  <si>
    <t xml:space="preserve">Wompi · MRR transactions</t>
  </si>
  <si>
    <t xml:space="preserve">ICA Medellín on net revenue</t>
  </si>
  <si>
    <t xml:space="preserve">Total variable costs</t>
  </si>
  <si>
    <t xml:space="preserve">Gross profit</t>
  </si>
  <si>
    <t xml:space="preserve">Gross margin %</t>
  </si>
  <si>
    <t xml:space="preserve">FIXED COSTS (monthly)</t>
  </si>
  <si>
    <t xml:space="preserve">Cloudflare Workers</t>
  </si>
  <si>
    <t xml:space="preserve">Anthropic API (Valentina)</t>
  </si>
  <si>
    <t xml:space="preserve">Gemini API</t>
  </si>
  <si>
    <t xml:space="preserve">Resend (email)</t>
  </si>
  <si>
    <t xml:space="preserve">Domains</t>
  </si>
  <si>
    <t xml:space="preserve">Contador (accounting)</t>
  </si>
  <si>
    <t xml:space="preserve">Cámara de Comercio (amortized)</t>
  </si>
  <si>
    <t xml:space="preserve">Bank fees / miscellaneous</t>
  </si>
  <si>
    <t xml:space="preserve">Total fixed costs</t>
  </si>
  <si>
    <t xml:space="preserve">Operating profit (pre-tax)</t>
  </si>
  <si>
    <t xml:space="preserve">Renta provision (35% if positive)</t>
  </si>
  <si>
    <t xml:space="preserve">Net profit</t>
  </si>
  <si>
    <t xml:space="preserve">Cumulative net profit</t>
  </si>
  <si>
    <t xml:space="preserve">Per-customer Unit Economics (12-month view)</t>
  </si>
  <si>
    <t xml:space="preserve">Assumes: 1 page sale + 1 Plan de ventas customer, no churn, 12 months recurring.</t>
  </si>
  <si>
    <t xml:space="preserve">REVENUE</t>
  </si>
  <si>
    <t xml:space="preserve">Page revenue (gross, IVA incl)</t>
  </si>
  <si>
    <t xml:space="preserve">MRR revenue × 12 months (gross)</t>
  </si>
  <si>
    <t xml:space="preserve">Total gross revenue per customer</t>
  </si>
  <si>
    <t xml:space="preserve">Less: IVA payable</t>
  </si>
  <si>
    <t xml:space="preserve">Net revenue per customer</t>
  </si>
  <si>
    <t xml:space="preserve">Commission one-time (20% × page)</t>
  </si>
  <si>
    <t xml:space="preserve">Commission recurring (10% × MRR × 12)</t>
  </si>
  <si>
    <t xml:space="preserve">Wompi · page (1 transaction)</t>
  </si>
  <si>
    <t xml:space="preserve">Wompi · MRR (12 transactions)</t>
  </si>
  <si>
    <t xml:space="preserve">ICA on net revenue</t>
  </si>
  <si>
    <t xml:space="preserve">Total variable cost per customer</t>
  </si>
  <si>
    <t xml:space="preserve">Contribution margin per customer</t>
  </si>
  <si>
    <t xml:space="preserve">Contribution margin %</t>
  </si>
  <si>
    <t xml:space="preserve">RAMP / SCALE</t>
  </si>
  <si>
    <t xml:space="preserve">12-month contribution at base sales rate</t>
  </si>
  <si>
    <t xml:space="preserve">Per-customer contribution × monthly new customers</t>
  </si>
  <si>
    <t xml:space="preserve">Fixed costs total per month</t>
  </si>
  <si>
    <t xml:space="preserve">Fixed costs total per year</t>
  </si>
  <si>
    <t xml:space="preserve">Breakeven: new sales/mo at steady state</t>
  </si>
  <si>
    <t xml:space="preserve">Sales/mo needed for one cohort's 12-mo contribution to cover annual fixed costs</t>
  </si>
  <si>
    <t xml:space="preserve">Notes &amp; Assumptions</t>
  </si>
  <si>
    <t xml:space="preserve">PRICING ASSUMPTION: All customer-facing prices ($400.000 page, $150.000 MRR) are assumed to INCLUDE IVA.</t>
  </si>
  <si>
    <t xml:space="preserve">Net revenue to NSC = price / 1.19. If your published prices are pre-IVA (customer pays $400k + 19%), set the IVA rate to 0% in</t>
  </si>
  <si>
    <t xml:space="preserve">the Assumptions sheet to see top-line revenue at the headline price.</t>
  </si>
  <si>
    <t xml:space="preserve">COMMISSIONS: Per the signed contractor agreement: 20% one-time on the page sale, 10% recurring on each MRR payment for 12 months,</t>
  </si>
  <si>
    <t xml:space="preserve">paid 30 days after sale close (Clause 5 MBG clawback). The model expenses commissions in the month earned (accrual basis).</t>
  </si>
  <si>
    <t xml:space="preserve">RETEFUENTE: 10% withheld from contractor commission and remitted to DIAN. Neutral to NSC's P&amp;L (you pay the contractor the same</t>
  </si>
  <si>
    <t xml:space="preserve">gross amount; the withholding flows through). Shown in Assumptions for reference only.</t>
  </si>
  <si>
    <t xml:space="preserve">SOCIAL SECURITY (PILA): The contractor pays his own salud + pensión + ARL. Contract clause 6 requires monthly PILA receipt before</t>
  </si>
  <si>
    <t xml:space="preserve">commission payment. No direct cost to NSC, but failure to verify creates joint-liability exposure. NOT modeled as an expense.</t>
  </si>
  <si>
    <t xml:space="preserve">WOMPI: Modeled at 2.99% + $900 per transaction + 19% IVA on the fee. Colombia card rate. PSE is cheaper (~1.79%).</t>
  </si>
  <si>
    <t xml:space="preserve">If most customers pay by PSE, lower the % in Assumptions.</t>
  </si>
  <si>
    <t xml:space="preserve">ICA MEDELLÍN: ~7 per thousand on services revenue. Modeled as a variable cost on net revenue. Filed bimonthly.</t>
  </si>
  <si>
    <t xml:space="preserve">RENTA: Modeled at 35% annual rate applied monthly to positive operating profit. Real payment is annual via declaración de renta,</t>
  </si>
  <si>
    <t xml:space="preserve">with bimonthly anticipos. Cash flow timing not modeled here.</t>
  </si>
  <si>
    <t xml:space="preserve">IVA: Pass-through. NSC collects 19% from the customer, remits to DIAN bimonthly. Shown as 'Less: IVA payable' to arrive at net revenue.</t>
  </si>
  <si>
    <t xml:space="preserve">IVA NSC pays on inputs (Wompi fees, Anthropic, Resend) is recoverable as crédito fiscal; NOT modeled, would slightly improve margins.</t>
  </si>
  <si>
    <t xml:space="preserve">INFRASTRUCTURE: Estimates for Anthropic and Wompi scale with volume. The current numbers assume low chat volume on Valentina.</t>
  </si>
  <si>
    <t xml:space="preserve">Re-estimate once you have 30+ live customers (Plan de ventas chatbot will increase Anthropic spend).</t>
  </si>
  <si>
    <t xml:space="preserve">WHAT IS NOT MODELED:</t>
  </si>
  <si>
    <t xml:space="preserve">- Customer acquisition cost beyond the seller commission (ads, SEO, content, etc.)</t>
  </si>
  <si>
    <t xml:space="preserve">- Service delivery cost for building each page (designer hours, your or Santi's time)</t>
  </si>
  <si>
    <t xml:space="preserve">- Customer churn beyond the configurable rate (set to 0% in base case)</t>
  </si>
  <si>
    <t xml:space="preserve">- 30-day MBG cancellation drag (raise churn % to approximate)</t>
  </si>
  <si>
    <t xml:space="preserve">- Cash flow timing (commission lag, IVA bimonthly cycle, renta annual)</t>
  </si>
  <si>
    <t xml:space="preserve">- USD/COP exchange rate movement (Anthropic, Gemini, Resend priced at ~$4.000/USD)</t>
  </si>
  <si>
    <t xml:space="preserve">DISCLAIMER: Planning model, not accounting. Validate retefuente rates, ICA tariffs, and IVA treatment with your contador before</t>
  </si>
  <si>
    <t xml:space="preserve">relying on these numbers for tax declarations.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</si>
</sst>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%;\(0.00%\);\-"/>
    <numFmt numFmtId="167" formatCode="\$#,##0;&quot;($&quot;#,##0\);\-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4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1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v>0</v>
      </c>
      <c r="C7" s="6" t="s">
        <v>8</v>
      </c>
    </row>
    <row r="8" customFormat="false" ht="15" hidden="false" customHeight="false" outlineLevel="0" collapsed="false">
      <c r="A8" s="3" t="s">
        <v>9</v>
      </c>
      <c r="B8" s="3"/>
      <c r="C8" s="3"/>
    </row>
    <row r="9" customFormat="false" ht="15" hidden="false" customHeight="false" outlineLevel="0" collapsed="false">
      <c r="A9" s="4" t="s">
        <v>10</v>
      </c>
      <c r="B9" s="8" t="n">
        <v>400000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8" t="n">
        <v>150000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7" t="n">
        <v>0.19</v>
      </c>
      <c r="C11" s="6" t="s">
        <v>15</v>
      </c>
    </row>
    <row r="12" customFormat="false" ht="15" hidden="false" customHeight="false" outlineLevel="0" collapsed="false">
      <c r="A12" s="3" t="s">
        <v>16</v>
      </c>
      <c r="B12" s="3"/>
      <c r="C12" s="3"/>
    </row>
    <row r="13" customFormat="false" ht="15" hidden="false" customHeight="false" outlineLevel="0" collapsed="false">
      <c r="A13" s="4" t="s">
        <v>17</v>
      </c>
      <c r="B13" s="7" t="n">
        <v>0.2</v>
      </c>
      <c r="C13" s="6" t="s">
        <v>18</v>
      </c>
    </row>
    <row r="14" customFormat="false" ht="15" hidden="false" customHeight="false" outlineLevel="0" collapsed="false">
      <c r="A14" s="4" t="s">
        <v>19</v>
      </c>
      <c r="B14" s="7" t="n">
        <v>0.1</v>
      </c>
      <c r="C14" s="6" t="s">
        <v>18</v>
      </c>
    </row>
    <row r="15" customFormat="false" ht="15" hidden="false" customHeight="false" outlineLevel="0" collapsed="false">
      <c r="A15" s="4" t="s">
        <v>20</v>
      </c>
      <c r="B15" s="5" t="n">
        <v>12</v>
      </c>
      <c r="C15" s="6" t="s">
        <v>21</v>
      </c>
    </row>
    <row r="16" customFormat="false" ht="15" hidden="false" customHeight="false" outlineLevel="0" collapsed="false">
      <c r="A16" s="4" t="s">
        <v>22</v>
      </c>
      <c r="B16" s="7" t="n">
        <v>0.1</v>
      </c>
      <c r="C16" s="6" t="s">
        <v>23</v>
      </c>
    </row>
    <row r="17" customFormat="false" ht="15" hidden="false" customHeight="false" outlineLevel="0" collapsed="false">
      <c r="A17" s="3" t="s">
        <v>24</v>
      </c>
      <c r="B17" s="3"/>
      <c r="C17" s="3"/>
    </row>
    <row r="18" customFormat="false" ht="15" hidden="false" customHeight="false" outlineLevel="0" collapsed="false">
      <c r="A18" s="4" t="s">
        <v>25</v>
      </c>
      <c r="B18" s="7" t="n">
        <v>0.0299</v>
      </c>
      <c r="C18" s="6" t="s">
        <v>26</v>
      </c>
    </row>
    <row r="19" customFormat="false" ht="15" hidden="false" customHeight="false" outlineLevel="0" collapsed="false">
      <c r="A19" s="4" t="s">
        <v>27</v>
      </c>
      <c r="B19" s="8" t="n">
        <v>900</v>
      </c>
      <c r="C19" s="6" t="s">
        <v>28</v>
      </c>
    </row>
    <row r="20" customFormat="false" ht="15" hidden="false" customHeight="false" outlineLevel="0" collapsed="false">
      <c r="A20" s="4" t="s">
        <v>29</v>
      </c>
      <c r="B20" s="7" t="n">
        <v>0.19</v>
      </c>
      <c r="C20" s="6" t="s">
        <v>30</v>
      </c>
    </row>
    <row r="21" customFormat="false" ht="15" hidden="false" customHeight="false" outlineLevel="0" collapsed="false">
      <c r="A21" s="3" t="s">
        <v>31</v>
      </c>
      <c r="B21" s="3"/>
      <c r="C21" s="3"/>
    </row>
    <row r="22" customFormat="false" ht="15" hidden="false" customHeight="false" outlineLevel="0" collapsed="false">
      <c r="A22" s="4" t="s">
        <v>32</v>
      </c>
      <c r="B22" s="7" t="n">
        <v>0.007</v>
      </c>
      <c r="C22" s="6" t="s">
        <v>33</v>
      </c>
    </row>
    <row r="23" customFormat="false" ht="15" hidden="false" customHeight="false" outlineLevel="0" collapsed="false">
      <c r="A23" s="4" t="s">
        <v>34</v>
      </c>
      <c r="B23" s="7" t="n">
        <v>0.35</v>
      </c>
      <c r="C23" s="6" t="s">
        <v>35</v>
      </c>
    </row>
    <row r="24" customFormat="false" ht="15" hidden="false" customHeight="false" outlineLevel="0" collapsed="false">
      <c r="A24" s="3" t="s">
        <v>36</v>
      </c>
      <c r="B24" s="3"/>
      <c r="C24" s="3"/>
    </row>
    <row r="25" customFormat="false" ht="15" hidden="false" customHeight="false" outlineLevel="0" collapsed="false">
      <c r="A25" s="4" t="s">
        <v>37</v>
      </c>
      <c r="B25" s="8" t="n">
        <v>20000</v>
      </c>
      <c r="C25" s="6" t="s">
        <v>38</v>
      </c>
    </row>
    <row r="26" customFormat="false" ht="15" hidden="false" customHeight="false" outlineLevel="0" collapsed="false">
      <c r="A26" s="4" t="s">
        <v>39</v>
      </c>
      <c r="B26" s="8" t="n">
        <v>160000</v>
      </c>
      <c r="C26" s="6" t="s">
        <v>40</v>
      </c>
    </row>
    <row r="27" customFormat="false" ht="15" hidden="false" customHeight="false" outlineLevel="0" collapsed="false">
      <c r="A27" s="4" t="s">
        <v>41</v>
      </c>
      <c r="B27" s="8" t="n">
        <v>20000</v>
      </c>
      <c r="C27" s="6" t="s">
        <v>42</v>
      </c>
    </row>
    <row r="28" customFormat="false" ht="15" hidden="false" customHeight="false" outlineLevel="0" collapsed="false">
      <c r="A28" s="4" t="s">
        <v>43</v>
      </c>
      <c r="B28" s="8" t="n">
        <v>80000</v>
      </c>
      <c r="C28" s="6" t="s">
        <v>44</v>
      </c>
    </row>
    <row r="29" customFormat="false" ht="15" hidden="false" customHeight="false" outlineLevel="0" collapsed="false">
      <c r="A29" s="4" t="s">
        <v>45</v>
      </c>
      <c r="B29" s="8" t="n">
        <v>5000</v>
      </c>
      <c r="C29" s="6" t="s">
        <v>46</v>
      </c>
    </row>
    <row r="30" customFormat="false" ht="15" hidden="false" customHeight="false" outlineLevel="0" collapsed="false">
      <c r="A30" s="4" t="s">
        <v>47</v>
      </c>
      <c r="B30" s="8" t="n">
        <v>0</v>
      </c>
      <c r="C30" s="6" t="s">
        <v>48</v>
      </c>
    </row>
    <row r="31" customFormat="false" ht="15" hidden="false" customHeight="false" outlineLevel="0" collapsed="false">
      <c r="A31" s="3" t="s">
        <v>49</v>
      </c>
      <c r="B31" s="3"/>
      <c r="C31" s="3"/>
    </row>
    <row r="32" customFormat="false" ht="15" hidden="false" customHeight="false" outlineLevel="0" collapsed="false">
      <c r="A32" s="4" t="s">
        <v>50</v>
      </c>
      <c r="B32" s="8" t="n">
        <v>400000</v>
      </c>
      <c r="C32" s="6" t="s">
        <v>51</v>
      </c>
    </row>
    <row r="33" customFormat="false" ht="15" hidden="false" customHeight="false" outlineLevel="0" collapsed="false">
      <c r="A33" s="4" t="s">
        <v>52</v>
      </c>
      <c r="B33" s="8" t="n">
        <v>25000</v>
      </c>
      <c r="C33" s="6" t="s">
        <v>53</v>
      </c>
    </row>
    <row r="34" customFormat="false" ht="15" hidden="false" customHeight="false" outlineLevel="0" collapsed="false">
      <c r="A34" s="4" t="s">
        <v>54</v>
      </c>
      <c r="B34" s="8" t="n">
        <v>30000</v>
      </c>
      <c r="C34" s="6" t="s">
        <v>55</v>
      </c>
    </row>
  </sheetData>
  <mergeCells count="9">
    <mergeCell ref="A1:C1"/>
    <mergeCell ref="A2:C2"/>
    <mergeCell ref="A4:C4"/>
    <mergeCell ref="A8:C8"/>
    <mergeCell ref="A12:C12"/>
    <mergeCell ref="A17:C17"/>
    <mergeCell ref="A21:C21"/>
    <mergeCell ref="A24:C24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6" min="2" style="0" width="14"/>
  </cols>
  <sheetData>
    <row r="1" customFormat="false" ht="1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customFormat="false" ht="15" hidden="false" customHeight="false" outlineLevel="0" collapsed="false">
      <c r="A3" s="9" t="s">
        <v>57</v>
      </c>
      <c r="B3" s="10" t="s">
        <v>58</v>
      </c>
      <c r="C3" s="10" t="s">
        <v>59</v>
      </c>
      <c r="D3" s="10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0" t="s">
        <v>65</v>
      </c>
      <c r="J3" s="10" t="s">
        <v>66</v>
      </c>
      <c r="K3" s="10" t="s">
        <v>67</v>
      </c>
      <c r="L3" s="10" t="s">
        <v>68</v>
      </c>
      <c r="M3" s="10" t="s">
        <v>69</v>
      </c>
      <c r="N3" s="10" t="s">
        <v>70</v>
      </c>
      <c r="O3" s="10" t="s">
        <v>71</v>
      </c>
      <c r="P3" s="10" t="s">
        <v>72</v>
      </c>
      <c r="Q3" s="10" t="s">
        <v>73</v>
      </c>
      <c r="R3" s="10" t="s">
        <v>74</v>
      </c>
      <c r="S3" s="10" t="s">
        <v>75</v>
      </c>
      <c r="T3" s="10" t="s">
        <v>76</v>
      </c>
      <c r="U3" s="10" t="s">
        <v>77</v>
      </c>
      <c r="V3" s="10" t="s">
        <v>78</v>
      </c>
      <c r="W3" s="10" t="s">
        <v>79</v>
      </c>
      <c r="X3" s="10" t="s">
        <v>80</v>
      </c>
      <c r="Y3" s="10" t="s">
        <v>81</v>
      </c>
    </row>
    <row r="5" customFormat="false" ht="15" hidden="false" customHeight="false" outlineLevel="0" collapsed="false">
      <c r="A5" s="11" t="s">
        <v>82</v>
      </c>
      <c r="B5" s="12" t="n">
        <f aca="false">Assumptions!$B$5</f>
        <v>4</v>
      </c>
      <c r="C5" s="12" t="n">
        <f aca="false">Assumptions!$B$5</f>
        <v>4</v>
      </c>
      <c r="D5" s="12" t="n">
        <f aca="false">Assumptions!$B$5</f>
        <v>4</v>
      </c>
      <c r="E5" s="12" t="n">
        <f aca="false">Assumptions!$B$5</f>
        <v>4</v>
      </c>
      <c r="F5" s="12" t="n">
        <f aca="false">Assumptions!$B$5</f>
        <v>4</v>
      </c>
      <c r="G5" s="12" t="n">
        <f aca="false">Assumptions!$B$5</f>
        <v>4</v>
      </c>
      <c r="H5" s="12" t="n">
        <f aca="false">Assumptions!$B$5</f>
        <v>4</v>
      </c>
      <c r="I5" s="12" t="n">
        <f aca="false">Assumptions!$B$5</f>
        <v>4</v>
      </c>
      <c r="J5" s="12" t="n">
        <f aca="false">Assumptions!$B$5</f>
        <v>4</v>
      </c>
      <c r="K5" s="12" t="n">
        <f aca="false">Assumptions!$B$5</f>
        <v>4</v>
      </c>
      <c r="L5" s="12" t="n">
        <f aca="false">Assumptions!$B$5</f>
        <v>4</v>
      </c>
      <c r="M5" s="12" t="n">
        <f aca="false">Assumptions!$B$5</f>
        <v>4</v>
      </c>
      <c r="N5" s="12" t="n">
        <f aca="false">Assumptions!$B$5</f>
        <v>4</v>
      </c>
      <c r="O5" s="12" t="n">
        <f aca="false">Assumptions!$B$5</f>
        <v>4</v>
      </c>
      <c r="P5" s="12" t="n">
        <f aca="false">Assumptions!$B$5</f>
        <v>4</v>
      </c>
      <c r="Q5" s="12" t="n">
        <f aca="false">Assumptions!$B$5</f>
        <v>4</v>
      </c>
      <c r="R5" s="12" t="n">
        <f aca="false">Assumptions!$B$5</f>
        <v>4</v>
      </c>
      <c r="S5" s="12" t="n">
        <f aca="false">Assumptions!$B$5</f>
        <v>4</v>
      </c>
      <c r="T5" s="12" t="n">
        <f aca="false">Assumptions!$B$5</f>
        <v>4</v>
      </c>
      <c r="U5" s="12" t="n">
        <f aca="false">Assumptions!$B$5</f>
        <v>4</v>
      </c>
      <c r="V5" s="12" t="n">
        <f aca="false">Assumptions!$B$5</f>
        <v>4</v>
      </c>
      <c r="W5" s="12" t="n">
        <f aca="false">Assumptions!$B$5</f>
        <v>4</v>
      </c>
      <c r="X5" s="12" t="n">
        <f aca="false">Assumptions!$B$5</f>
        <v>4</v>
      </c>
      <c r="Y5" s="12" t="n">
        <f aca="false">Assumptions!$B$5</f>
        <v>4</v>
      </c>
    </row>
    <row r="6" customFormat="false" ht="15" hidden="false" customHeight="false" outlineLevel="0" collapsed="false">
      <c r="A6" s="4" t="s">
        <v>83</v>
      </c>
      <c r="B6" s="13" t="n">
        <f aca="false">B5*Assumptions!$B$6</f>
        <v>4</v>
      </c>
      <c r="C6" s="13" t="n">
        <f aca="false">C5*Assumptions!$B$6</f>
        <v>4</v>
      </c>
      <c r="D6" s="13" t="n">
        <f aca="false">D5*Assumptions!$B$6</f>
        <v>4</v>
      </c>
      <c r="E6" s="13" t="n">
        <f aca="false">E5*Assumptions!$B$6</f>
        <v>4</v>
      </c>
      <c r="F6" s="13" t="n">
        <f aca="false">F5*Assumptions!$B$6</f>
        <v>4</v>
      </c>
      <c r="G6" s="13" t="n">
        <f aca="false">G5*Assumptions!$B$6</f>
        <v>4</v>
      </c>
      <c r="H6" s="13" t="n">
        <f aca="false">H5*Assumptions!$B$6</f>
        <v>4</v>
      </c>
      <c r="I6" s="13" t="n">
        <f aca="false">I5*Assumptions!$B$6</f>
        <v>4</v>
      </c>
      <c r="J6" s="13" t="n">
        <f aca="false">J5*Assumptions!$B$6</f>
        <v>4</v>
      </c>
      <c r="K6" s="13" t="n">
        <f aca="false">K5*Assumptions!$B$6</f>
        <v>4</v>
      </c>
      <c r="L6" s="13" t="n">
        <f aca="false">L5*Assumptions!$B$6</f>
        <v>4</v>
      </c>
      <c r="M6" s="13" t="n">
        <f aca="false">M5*Assumptions!$B$6</f>
        <v>4</v>
      </c>
      <c r="N6" s="13" t="n">
        <f aca="false">N5*Assumptions!$B$6</f>
        <v>4</v>
      </c>
      <c r="O6" s="13" t="n">
        <f aca="false">O5*Assumptions!$B$6</f>
        <v>4</v>
      </c>
      <c r="P6" s="13" t="n">
        <f aca="false">P5*Assumptions!$B$6</f>
        <v>4</v>
      </c>
      <c r="Q6" s="13" t="n">
        <f aca="false">Q5*Assumptions!$B$6</f>
        <v>4</v>
      </c>
      <c r="R6" s="13" t="n">
        <f aca="false">R5*Assumptions!$B$6</f>
        <v>4</v>
      </c>
      <c r="S6" s="13" t="n">
        <f aca="false">S5*Assumptions!$B$6</f>
        <v>4</v>
      </c>
      <c r="T6" s="13" t="n">
        <f aca="false">T5*Assumptions!$B$6</f>
        <v>4</v>
      </c>
      <c r="U6" s="13" t="n">
        <f aca="false">U5*Assumptions!$B$6</f>
        <v>4</v>
      </c>
      <c r="V6" s="13" t="n">
        <f aca="false">V5*Assumptions!$B$6</f>
        <v>4</v>
      </c>
      <c r="W6" s="13" t="n">
        <f aca="false">W5*Assumptions!$B$6</f>
        <v>4</v>
      </c>
      <c r="X6" s="13" t="n">
        <f aca="false">X5*Assumptions!$B$6</f>
        <v>4</v>
      </c>
      <c r="Y6" s="13" t="n">
        <f aca="false">Y5*Assumptions!$B$6</f>
        <v>4</v>
      </c>
    </row>
    <row r="7" customFormat="false" ht="15" hidden="false" customHeight="false" outlineLevel="0" collapsed="false">
      <c r="A7" s="11" t="s">
        <v>84</v>
      </c>
      <c r="B7" s="14" t="n">
        <f aca="false">B6</f>
        <v>4</v>
      </c>
      <c r="C7" s="14" t="n">
        <f aca="false">B7*(1-Assumptions!$B$7)+C6</f>
        <v>8</v>
      </c>
      <c r="D7" s="14" t="n">
        <f aca="false">C7*(1-Assumptions!$B$7)+D6</f>
        <v>12</v>
      </c>
      <c r="E7" s="14" t="n">
        <f aca="false">D7*(1-Assumptions!$B$7)+E6</f>
        <v>16</v>
      </c>
      <c r="F7" s="14" t="n">
        <f aca="false">E7*(1-Assumptions!$B$7)+F6</f>
        <v>20</v>
      </c>
      <c r="G7" s="14" t="n">
        <f aca="false">F7*(1-Assumptions!$B$7)+G6</f>
        <v>24</v>
      </c>
      <c r="H7" s="14" t="n">
        <f aca="false">G7*(1-Assumptions!$B$7)+H6</f>
        <v>28</v>
      </c>
      <c r="I7" s="14" t="n">
        <f aca="false">H7*(1-Assumptions!$B$7)+I6</f>
        <v>32</v>
      </c>
      <c r="J7" s="14" t="n">
        <f aca="false">I7*(1-Assumptions!$B$7)+J6</f>
        <v>36</v>
      </c>
      <c r="K7" s="14" t="n">
        <f aca="false">J7*(1-Assumptions!$B$7)+K6</f>
        <v>40</v>
      </c>
      <c r="L7" s="14" t="n">
        <f aca="false">K7*(1-Assumptions!$B$7)+L6</f>
        <v>44</v>
      </c>
      <c r="M7" s="14" t="n">
        <f aca="false">L7*(1-Assumptions!$B$7)+M6</f>
        <v>48</v>
      </c>
      <c r="N7" s="14" t="n">
        <f aca="false">M7*(1-Assumptions!$B$7)+N6</f>
        <v>52</v>
      </c>
      <c r="O7" s="14" t="n">
        <f aca="false">N7*(1-Assumptions!$B$7)+O6</f>
        <v>56</v>
      </c>
      <c r="P7" s="14" t="n">
        <f aca="false">O7*(1-Assumptions!$B$7)+P6</f>
        <v>60</v>
      </c>
      <c r="Q7" s="14" t="n">
        <f aca="false">P7*(1-Assumptions!$B$7)+Q6</f>
        <v>64</v>
      </c>
      <c r="R7" s="14" t="n">
        <f aca="false">Q7*(1-Assumptions!$B$7)+R6</f>
        <v>68</v>
      </c>
      <c r="S7" s="14" t="n">
        <f aca="false">R7*(1-Assumptions!$B$7)+S6</f>
        <v>72</v>
      </c>
      <c r="T7" s="14" t="n">
        <f aca="false">S7*(1-Assumptions!$B$7)+T6</f>
        <v>76</v>
      </c>
      <c r="U7" s="14" t="n">
        <f aca="false">T7*(1-Assumptions!$B$7)+U6</f>
        <v>80</v>
      </c>
      <c r="V7" s="14" t="n">
        <f aca="false">U7*(1-Assumptions!$B$7)+V6</f>
        <v>84</v>
      </c>
      <c r="W7" s="14" t="n">
        <f aca="false">V7*(1-Assumptions!$B$7)+W6</f>
        <v>88</v>
      </c>
      <c r="X7" s="14" t="n">
        <f aca="false">W7*(1-Assumptions!$B$7)+X6</f>
        <v>92</v>
      </c>
      <c r="Y7" s="14" t="n">
        <f aca="false">X7*(1-Assumptions!$B$7)+Y6</f>
        <v>96</v>
      </c>
    </row>
    <row r="8" customFormat="false" ht="15" hidden="false" customHeight="false" outlineLevel="0" collapsed="false">
      <c r="A8" s="4" t="s">
        <v>85</v>
      </c>
      <c r="B8" s="13" t="n">
        <f aca="false">B7</f>
        <v>4</v>
      </c>
      <c r="C8" s="13" t="n">
        <f aca="false">C7</f>
        <v>8</v>
      </c>
      <c r="D8" s="13" t="n">
        <f aca="false">D7</f>
        <v>12</v>
      </c>
      <c r="E8" s="13" t="n">
        <f aca="false">E7</f>
        <v>16</v>
      </c>
      <c r="F8" s="13" t="n">
        <f aca="false">F7</f>
        <v>20</v>
      </c>
      <c r="G8" s="13" t="n">
        <f aca="false">G7</f>
        <v>24</v>
      </c>
      <c r="H8" s="13" t="n">
        <f aca="false">H7</f>
        <v>28</v>
      </c>
      <c r="I8" s="13" t="n">
        <f aca="false">I7</f>
        <v>32</v>
      </c>
      <c r="J8" s="13" t="n">
        <f aca="false">J7</f>
        <v>36</v>
      </c>
      <c r="K8" s="13" t="n">
        <f aca="false">K7</f>
        <v>40</v>
      </c>
      <c r="L8" s="13" t="n">
        <f aca="false">L7</f>
        <v>44</v>
      </c>
      <c r="M8" s="13" t="n">
        <f aca="false">M7</f>
        <v>48</v>
      </c>
      <c r="N8" s="13" t="n">
        <f aca="false">SUM(C6:N6)</f>
        <v>48</v>
      </c>
      <c r="O8" s="13" t="n">
        <f aca="false">SUM(D6:O6)</f>
        <v>48</v>
      </c>
      <c r="P8" s="13" t="n">
        <f aca="false">SUM(E6:P6)</f>
        <v>48</v>
      </c>
      <c r="Q8" s="13" t="n">
        <f aca="false">SUM(F6:Q6)</f>
        <v>48</v>
      </c>
      <c r="R8" s="13" t="n">
        <f aca="false">SUM(G6:R6)</f>
        <v>48</v>
      </c>
      <c r="S8" s="13" t="n">
        <f aca="false">SUM(H6:S6)</f>
        <v>48</v>
      </c>
      <c r="T8" s="13" t="n">
        <f aca="false">SUM(I6:T6)</f>
        <v>48</v>
      </c>
      <c r="U8" s="13" t="n">
        <f aca="false">SUM(J6:U6)</f>
        <v>48</v>
      </c>
      <c r="V8" s="13" t="n">
        <f aca="false">SUM(K6:V6)</f>
        <v>48</v>
      </c>
      <c r="W8" s="13" t="n">
        <f aca="false">SUM(L6:W6)</f>
        <v>48</v>
      </c>
      <c r="X8" s="13" t="n">
        <f aca="false">SUM(M6:X6)</f>
        <v>48</v>
      </c>
      <c r="Y8" s="13" t="n">
        <f aca="false">SUM(N6:Y6)</f>
        <v>48</v>
      </c>
    </row>
    <row r="10" customFormat="false" ht="15" hidden="false" customHeight="false" outlineLevel="0" collapsed="false">
      <c r="A10" s="9" t="s">
        <v>86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customFormat="false" ht="15" hidden="false" customHeight="false" outlineLevel="0" collapsed="false">
      <c r="A11" s="4" t="s">
        <v>87</v>
      </c>
      <c r="B11" s="16" t="n">
        <f aca="false">B5*Assumptions!$B$9</f>
        <v>1600000</v>
      </c>
      <c r="C11" s="16" t="n">
        <f aca="false">C5*Assumptions!$B$9</f>
        <v>1600000</v>
      </c>
      <c r="D11" s="16" t="n">
        <f aca="false">D5*Assumptions!$B$9</f>
        <v>1600000</v>
      </c>
      <c r="E11" s="16" t="n">
        <f aca="false">E5*Assumptions!$B$9</f>
        <v>1600000</v>
      </c>
      <c r="F11" s="16" t="n">
        <f aca="false">F5*Assumptions!$B$9</f>
        <v>1600000</v>
      </c>
      <c r="G11" s="16" t="n">
        <f aca="false">G5*Assumptions!$B$9</f>
        <v>1600000</v>
      </c>
      <c r="H11" s="16" t="n">
        <f aca="false">H5*Assumptions!$B$9</f>
        <v>1600000</v>
      </c>
      <c r="I11" s="16" t="n">
        <f aca="false">I5*Assumptions!$B$9</f>
        <v>1600000</v>
      </c>
      <c r="J11" s="16" t="n">
        <f aca="false">J5*Assumptions!$B$9</f>
        <v>1600000</v>
      </c>
      <c r="K11" s="16" t="n">
        <f aca="false">K5*Assumptions!$B$9</f>
        <v>1600000</v>
      </c>
      <c r="L11" s="16" t="n">
        <f aca="false">L5*Assumptions!$B$9</f>
        <v>1600000</v>
      </c>
      <c r="M11" s="16" t="n">
        <f aca="false">M5*Assumptions!$B$9</f>
        <v>1600000</v>
      </c>
      <c r="N11" s="16" t="n">
        <f aca="false">N5*Assumptions!$B$9</f>
        <v>1600000</v>
      </c>
      <c r="O11" s="16" t="n">
        <f aca="false">O5*Assumptions!$B$9</f>
        <v>1600000</v>
      </c>
      <c r="P11" s="16" t="n">
        <f aca="false">P5*Assumptions!$B$9</f>
        <v>1600000</v>
      </c>
      <c r="Q11" s="16" t="n">
        <f aca="false">Q5*Assumptions!$B$9</f>
        <v>1600000</v>
      </c>
      <c r="R11" s="16" t="n">
        <f aca="false">R5*Assumptions!$B$9</f>
        <v>1600000</v>
      </c>
      <c r="S11" s="16" t="n">
        <f aca="false">S5*Assumptions!$B$9</f>
        <v>1600000</v>
      </c>
      <c r="T11" s="16" t="n">
        <f aca="false">T5*Assumptions!$B$9</f>
        <v>1600000</v>
      </c>
      <c r="U11" s="16" t="n">
        <f aca="false">U5*Assumptions!$B$9</f>
        <v>1600000</v>
      </c>
      <c r="V11" s="16" t="n">
        <f aca="false">V5*Assumptions!$B$9</f>
        <v>1600000</v>
      </c>
      <c r="W11" s="16" t="n">
        <f aca="false">W5*Assumptions!$B$9</f>
        <v>1600000</v>
      </c>
      <c r="X11" s="16" t="n">
        <f aca="false">X5*Assumptions!$B$9</f>
        <v>1600000</v>
      </c>
      <c r="Y11" s="16" t="n">
        <f aca="false">Y5*Assumptions!$B$9</f>
        <v>1600000</v>
      </c>
    </row>
    <row r="12" customFormat="false" ht="15" hidden="false" customHeight="false" outlineLevel="0" collapsed="false">
      <c r="A12" s="4" t="s">
        <v>88</v>
      </c>
      <c r="B12" s="16" t="n">
        <f aca="false">B7*Assumptions!$B$10</f>
        <v>600000</v>
      </c>
      <c r="C12" s="16" t="n">
        <f aca="false">C7*Assumptions!$B$10</f>
        <v>1200000</v>
      </c>
      <c r="D12" s="16" t="n">
        <f aca="false">D7*Assumptions!$B$10</f>
        <v>1800000</v>
      </c>
      <c r="E12" s="16" t="n">
        <f aca="false">E7*Assumptions!$B$10</f>
        <v>2400000</v>
      </c>
      <c r="F12" s="16" t="n">
        <f aca="false">F7*Assumptions!$B$10</f>
        <v>3000000</v>
      </c>
      <c r="G12" s="16" t="n">
        <f aca="false">G7*Assumptions!$B$10</f>
        <v>3600000</v>
      </c>
      <c r="H12" s="16" t="n">
        <f aca="false">H7*Assumptions!$B$10</f>
        <v>4200000</v>
      </c>
      <c r="I12" s="16" t="n">
        <f aca="false">I7*Assumptions!$B$10</f>
        <v>4800000</v>
      </c>
      <c r="J12" s="16" t="n">
        <f aca="false">J7*Assumptions!$B$10</f>
        <v>5400000</v>
      </c>
      <c r="K12" s="16" t="n">
        <f aca="false">K7*Assumptions!$B$10</f>
        <v>6000000</v>
      </c>
      <c r="L12" s="16" t="n">
        <f aca="false">L7*Assumptions!$B$10</f>
        <v>6600000</v>
      </c>
      <c r="M12" s="16" t="n">
        <f aca="false">M7*Assumptions!$B$10</f>
        <v>7200000</v>
      </c>
      <c r="N12" s="16" t="n">
        <f aca="false">N7*Assumptions!$B$10</f>
        <v>7800000</v>
      </c>
      <c r="O12" s="16" t="n">
        <f aca="false">O7*Assumptions!$B$10</f>
        <v>8400000</v>
      </c>
      <c r="P12" s="16" t="n">
        <f aca="false">P7*Assumptions!$B$10</f>
        <v>9000000</v>
      </c>
      <c r="Q12" s="16" t="n">
        <f aca="false">Q7*Assumptions!$B$10</f>
        <v>9600000</v>
      </c>
      <c r="R12" s="16" t="n">
        <f aca="false">R7*Assumptions!$B$10</f>
        <v>10200000</v>
      </c>
      <c r="S12" s="16" t="n">
        <f aca="false">S7*Assumptions!$B$10</f>
        <v>10800000</v>
      </c>
      <c r="T12" s="16" t="n">
        <f aca="false">T7*Assumptions!$B$10</f>
        <v>11400000</v>
      </c>
      <c r="U12" s="16" t="n">
        <f aca="false">U7*Assumptions!$B$10</f>
        <v>12000000</v>
      </c>
      <c r="V12" s="16" t="n">
        <f aca="false">V7*Assumptions!$B$10</f>
        <v>12600000</v>
      </c>
      <c r="W12" s="16" t="n">
        <f aca="false">W7*Assumptions!$B$10</f>
        <v>13200000</v>
      </c>
      <c r="X12" s="16" t="n">
        <f aca="false">X7*Assumptions!$B$10</f>
        <v>13800000</v>
      </c>
      <c r="Y12" s="16" t="n">
        <f aca="false">Y7*Assumptions!$B$10</f>
        <v>14400000</v>
      </c>
    </row>
    <row r="13" customFormat="false" ht="15" hidden="false" customHeight="false" outlineLevel="0" collapsed="false">
      <c r="A13" s="17" t="s">
        <v>89</v>
      </c>
      <c r="B13" s="18" t="n">
        <f aca="false">B11+B12</f>
        <v>2200000</v>
      </c>
      <c r="C13" s="18" t="n">
        <f aca="false">C11+C12</f>
        <v>2800000</v>
      </c>
      <c r="D13" s="18" t="n">
        <f aca="false">D11+D12</f>
        <v>3400000</v>
      </c>
      <c r="E13" s="18" t="n">
        <f aca="false">E11+E12</f>
        <v>4000000</v>
      </c>
      <c r="F13" s="18" t="n">
        <f aca="false">F11+F12</f>
        <v>4600000</v>
      </c>
      <c r="G13" s="18" t="n">
        <f aca="false">G11+G12</f>
        <v>5200000</v>
      </c>
      <c r="H13" s="18" t="n">
        <f aca="false">H11+H12</f>
        <v>5800000</v>
      </c>
      <c r="I13" s="18" t="n">
        <f aca="false">I11+I12</f>
        <v>6400000</v>
      </c>
      <c r="J13" s="18" t="n">
        <f aca="false">J11+J12</f>
        <v>7000000</v>
      </c>
      <c r="K13" s="18" t="n">
        <f aca="false">K11+K12</f>
        <v>7600000</v>
      </c>
      <c r="L13" s="18" t="n">
        <f aca="false">L11+L12</f>
        <v>8200000</v>
      </c>
      <c r="M13" s="18" t="n">
        <f aca="false">M11+M12</f>
        <v>8800000</v>
      </c>
      <c r="N13" s="18" t="n">
        <f aca="false">N11+N12</f>
        <v>9400000</v>
      </c>
      <c r="O13" s="18" t="n">
        <f aca="false">O11+O12</f>
        <v>10000000</v>
      </c>
      <c r="P13" s="18" t="n">
        <f aca="false">P11+P12</f>
        <v>10600000</v>
      </c>
      <c r="Q13" s="18" t="n">
        <f aca="false">Q11+Q12</f>
        <v>11200000</v>
      </c>
      <c r="R13" s="18" t="n">
        <f aca="false">R11+R12</f>
        <v>11800000</v>
      </c>
      <c r="S13" s="18" t="n">
        <f aca="false">S11+S12</f>
        <v>12400000</v>
      </c>
      <c r="T13" s="18" t="n">
        <f aca="false">T11+T12</f>
        <v>13000000</v>
      </c>
      <c r="U13" s="18" t="n">
        <f aca="false">U11+U12</f>
        <v>13600000</v>
      </c>
      <c r="V13" s="18" t="n">
        <f aca="false">V11+V12</f>
        <v>14200000</v>
      </c>
      <c r="W13" s="18" t="n">
        <f aca="false">W11+W12</f>
        <v>14800000</v>
      </c>
      <c r="X13" s="18" t="n">
        <f aca="false">X11+X12</f>
        <v>15400000</v>
      </c>
      <c r="Y13" s="18" t="n">
        <f aca="false">Y11+Y12</f>
        <v>16000000</v>
      </c>
    </row>
    <row r="14" customFormat="false" ht="15" hidden="false" customHeight="false" outlineLevel="0" collapsed="false">
      <c r="A14" s="4" t="s">
        <v>90</v>
      </c>
      <c r="B14" s="16" t="n">
        <f aca="false">-B13*Assumptions!$B$11/(1+Assumptions!$B$11)</f>
        <v>-351260.504201681</v>
      </c>
      <c r="C14" s="16" t="n">
        <f aca="false">-C13*Assumptions!$B$11/(1+Assumptions!$B$11)</f>
        <v>-447058.823529412</v>
      </c>
      <c r="D14" s="16" t="n">
        <f aca="false">-D13*Assumptions!$B$11/(1+Assumptions!$B$11)</f>
        <v>-542857.142857143</v>
      </c>
      <c r="E14" s="16" t="n">
        <f aca="false">-E13*Assumptions!$B$11/(1+Assumptions!$B$11)</f>
        <v>-638655.462184874</v>
      </c>
      <c r="F14" s="16" t="n">
        <f aca="false">-F13*Assumptions!$B$11/(1+Assumptions!$B$11)</f>
        <v>-734453.781512605</v>
      </c>
      <c r="G14" s="16" t="n">
        <f aca="false">-G13*Assumptions!$B$11/(1+Assumptions!$B$11)</f>
        <v>-830252.100840336</v>
      </c>
      <c r="H14" s="16" t="n">
        <f aca="false">-H13*Assumptions!$B$11/(1+Assumptions!$B$11)</f>
        <v>-926050.420168067</v>
      </c>
      <c r="I14" s="16" t="n">
        <f aca="false">-I13*Assumptions!$B$11/(1+Assumptions!$B$11)</f>
        <v>-1021848.7394958</v>
      </c>
      <c r="J14" s="16" t="n">
        <f aca="false">-J13*Assumptions!$B$11/(1+Assumptions!$B$11)</f>
        <v>-1117647.05882353</v>
      </c>
      <c r="K14" s="16" t="n">
        <f aca="false">-K13*Assumptions!$B$11/(1+Assumptions!$B$11)</f>
        <v>-1213445.37815126</v>
      </c>
      <c r="L14" s="16" t="n">
        <f aca="false">-L13*Assumptions!$B$11/(1+Assumptions!$B$11)</f>
        <v>-1309243.69747899</v>
      </c>
      <c r="M14" s="16" t="n">
        <f aca="false">-M13*Assumptions!$B$11/(1+Assumptions!$B$11)</f>
        <v>-1405042.01680672</v>
      </c>
      <c r="N14" s="16" t="n">
        <f aca="false">-N13*Assumptions!$B$11/(1+Assumptions!$B$11)</f>
        <v>-1500840.33613445</v>
      </c>
      <c r="O14" s="16" t="n">
        <f aca="false">-O13*Assumptions!$B$11/(1+Assumptions!$B$11)</f>
        <v>-1596638.65546219</v>
      </c>
      <c r="P14" s="16" t="n">
        <f aca="false">-P13*Assumptions!$B$11/(1+Assumptions!$B$11)</f>
        <v>-1692436.97478992</v>
      </c>
      <c r="Q14" s="16" t="n">
        <f aca="false">-Q13*Assumptions!$B$11/(1+Assumptions!$B$11)</f>
        <v>-1788235.29411765</v>
      </c>
      <c r="R14" s="16" t="n">
        <f aca="false">-R13*Assumptions!$B$11/(1+Assumptions!$B$11)</f>
        <v>-1884033.61344538</v>
      </c>
      <c r="S14" s="16" t="n">
        <f aca="false">-S13*Assumptions!$B$11/(1+Assumptions!$B$11)</f>
        <v>-1979831.93277311</v>
      </c>
      <c r="T14" s="16" t="n">
        <f aca="false">-T13*Assumptions!$B$11/(1+Assumptions!$B$11)</f>
        <v>-2075630.25210084</v>
      </c>
      <c r="U14" s="16" t="n">
        <f aca="false">-U13*Assumptions!$B$11/(1+Assumptions!$B$11)</f>
        <v>-2171428.57142857</v>
      </c>
      <c r="V14" s="16" t="n">
        <f aca="false">-V13*Assumptions!$B$11/(1+Assumptions!$B$11)</f>
        <v>-2267226.8907563</v>
      </c>
      <c r="W14" s="16" t="n">
        <f aca="false">-W13*Assumptions!$B$11/(1+Assumptions!$B$11)</f>
        <v>-2363025.21008403</v>
      </c>
      <c r="X14" s="16" t="n">
        <f aca="false">-X13*Assumptions!$B$11/(1+Assumptions!$B$11)</f>
        <v>-2458823.52941177</v>
      </c>
      <c r="Y14" s="16" t="n">
        <f aca="false">-Y13*Assumptions!$B$11/(1+Assumptions!$B$11)</f>
        <v>-2554621.8487395</v>
      </c>
    </row>
    <row r="15" customFormat="false" ht="15" hidden="false" customHeight="false" outlineLevel="0" collapsed="false">
      <c r="A15" s="17" t="s">
        <v>91</v>
      </c>
      <c r="B15" s="18" t="n">
        <f aca="false">B13+B14</f>
        <v>1848739.49579832</v>
      </c>
      <c r="C15" s="18" t="n">
        <f aca="false">C13+C14</f>
        <v>2352941.17647059</v>
      </c>
      <c r="D15" s="18" t="n">
        <f aca="false">D13+D14</f>
        <v>2857142.85714286</v>
      </c>
      <c r="E15" s="18" t="n">
        <f aca="false">E13+E14</f>
        <v>3361344.53781513</v>
      </c>
      <c r="F15" s="18" t="n">
        <f aca="false">F13+F14</f>
        <v>3865546.2184874</v>
      </c>
      <c r="G15" s="18" t="n">
        <f aca="false">G13+G14</f>
        <v>4369747.89915966</v>
      </c>
      <c r="H15" s="18" t="n">
        <f aca="false">H13+H14</f>
        <v>4873949.57983193</v>
      </c>
      <c r="I15" s="18" t="n">
        <f aca="false">I13+I14</f>
        <v>5378151.2605042</v>
      </c>
      <c r="J15" s="18" t="n">
        <f aca="false">J13+J14</f>
        <v>5882352.94117647</v>
      </c>
      <c r="K15" s="18" t="n">
        <f aca="false">K13+K14</f>
        <v>6386554.62184874</v>
      </c>
      <c r="L15" s="18" t="n">
        <f aca="false">L13+L14</f>
        <v>6890756.30252101</v>
      </c>
      <c r="M15" s="18" t="n">
        <f aca="false">M13+M14</f>
        <v>7394957.98319328</v>
      </c>
      <c r="N15" s="18" t="n">
        <f aca="false">N13+N14</f>
        <v>7899159.66386555</v>
      </c>
      <c r="O15" s="18" t="n">
        <f aca="false">O13+O14</f>
        <v>8403361.34453782</v>
      </c>
      <c r="P15" s="18" t="n">
        <f aca="false">P13+P14</f>
        <v>8907563.02521008</v>
      </c>
      <c r="Q15" s="18" t="n">
        <f aca="false">Q13+Q14</f>
        <v>9411764.70588235</v>
      </c>
      <c r="R15" s="18" t="n">
        <f aca="false">R13+R14</f>
        <v>9915966.38655462</v>
      </c>
      <c r="S15" s="18" t="n">
        <f aca="false">S13+S14</f>
        <v>10420168.0672269</v>
      </c>
      <c r="T15" s="18" t="n">
        <f aca="false">T13+T14</f>
        <v>10924369.7478992</v>
      </c>
      <c r="U15" s="18" t="n">
        <f aca="false">U13+U14</f>
        <v>11428571.4285714</v>
      </c>
      <c r="V15" s="18" t="n">
        <f aca="false">V13+V14</f>
        <v>11932773.1092437</v>
      </c>
      <c r="W15" s="18" t="n">
        <f aca="false">W13+W14</f>
        <v>12436974.789916</v>
      </c>
      <c r="X15" s="18" t="n">
        <f aca="false">X13+X14</f>
        <v>12941176.4705882</v>
      </c>
      <c r="Y15" s="18" t="n">
        <f aca="false">Y13+Y14</f>
        <v>13445378.1512605</v>
      </c>
    </row>
    <row r="17" customFormat="false" ht="15" hidden="false" customHeight="false" outlineLevel="0" collapsed="false">
      <c r="A17" s="9" t="s">
        <v>92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customFormat="false" ht="15" hidden="false" customHeight="false" outlineLevel="0" collapsed="false">
      <c r="A18" s="4" t="s">
        <v>93</v>
      </c>
      <c r="B18" s="16" t="n">
        <f aca="false">-B11*Assumptions!$B$13</f>
        <v>-320000</v>
      </c>
      <c r="C18" s="16" t="n">
        <f aca="false">-C11*Assumptions!$B$13</f>
        <v>-320000</v>
      </c>
      <c r="D18" s="16" t="n">
        <f aca="false">-D11*Assumptions!$B$13</f>
        <v>-320000</v>
      </c>
      <c r="E18" s="16" t="n">
        <f aca="false">-E11*Assumptions!$B$13</f>
        <v>-320000</v>
      </c>
      <c r="F18" s="16" t="n">
        <f aca="false">-F11*Assumptions!$B$13</f>
        <v>-320000</v>
      </c>
      <c r="G18" s="16" t="n">
        <f aca="false">-G11*Assumptions!$B$13</f>
        <v>-320000</v>
      </c>
      <c r="H18" s="16" t="n">
        <f aca="false">-H11*Assumptions!$B$13</f>
        <v>-320000</v>
      </c>
      <c r="I18" s="16" t="n">
        <f aca="false">-I11*Assumptions!$B$13</f>
        <v>-320000</v>
      </c>
      <c r="J18" s="16" t="n">
        <f aca="false">-J11*Assumptions!$B$13</f>
        <v>-320000</v>
      </c>
      <c r="K18" s="16" t="n">
        <f aca="false">-K11*Assumptions!$B$13</f>
        <v>-320000</v>
      </c>
      <c r="L18" s="16" t="n">
        <f aca="false">-L11*Assumptions!$B$13</f>
        <v>-320000</v>
      </c>
      <c r="M18" s="16" t="n">
        <f aca="false">-M11*Assumptions!$B$13</f>
        <v>-320000</v>
      </c>
      <c r="N18" s="16" t="n">
        <f aca="false">-N11*Assumptions!$B$13</f>
        <v>-320000</v>
      </c>
      <c r="O18" s="16" t="n">
        <f aca="false">-O11*Assumptions!$B$13</f>
        <v>-320000</v>
      </c>
      <c r="P18" s="16" t="n">
        <f aca="false">-P11*Assumptions!$B$13</f>
        <v>-320000</v>
      </c>
      <c r="Q18" s="16" t="n">
        <f aca="false">-Q11*Assumptions!$B$13</f>
        <v>-320000</v>
      </c>
      <c r="R18" s="16" t="n">
        <f aca="false">-R11*Assumptions!$B$13</f>
        <v>-320000</v>
      </c>
      <c r="S18" s="16" t="n">
        <f aca="false">-S11*Assumptions!$B$13</f>
        <v>-320000</v>
      </c>
      <c r="T18" s="16" t="n">
        <f aca="false">-T11*Assumptions!$B$13</f>
        <v>-320000</v>
      </c>
      <c r="U18" s="16" t="n">
        <f aca="false">-U11*Assumptions!$B$13</f>
        <v>-320000</v>
      </c>
      <c r="V18" s="16" t="n">
        <f aca="false">-V11*Assumptions!$B$13</f>
        <v>-320000</v>
      </c>
      <c r="W18" s="16" t="n">
        <f aca="false">-W11*Assumptions!$B$13</f>
        <v>-320000</v>
      </c>
      <c r="X18" s="16" t="n">
        <f aca="false">-X11*Assumptions!$B$13</f>
        <v>-320000</v>
      </c>
      <c r="Y18" s="16" t="n">
        <f aca="false">-Y11*Assumptions!$B$13</f>
        <v>-320000</v>
      </c>
    </row>
    <row r="19" customFormat="false" ht="15" hidden="false" customHeight="false" outlineLevel="0" collapsed="false">
      <c r="A19" s="4" t="s">
        <v>94</v>
      </c>
      <c r="B19" s="16" t="n">
        <f aca="false">-B8*Assumptions!$B$10*Assumptions!$B$14</f>
        <v>-60000</v>
      </c>
      <c r="C19" s="16" t="n">
        <f aca="false">-C8*Assumptions!$B$10*Assumptions!$B$14</f>
        <v>-120000</v>
      </c>
      <c r="D19" s="16" t="n">
        <f aca="false">-D8*Assumptions!$B$10*Assumptions!$B$14</f>
        <v>-180000</v>
      </c>
      <c r="E19" s="16" t="n">
        <f aca="false">-E8*Assumptions!$B$10*Assumptions!$B$14</f>
        <v>-240000</v>
      </c>
      <c r="F19" s="16" t="n">
        <f aca="false">-F8*Assumptions!$B$10*Assumptions!$B$14</f>
        <v>-300000</v>
      </c>
      <c r="G19" s="16" t="n">
        <f aca="false">-G8*Assumptions!$B$10*Assumptions!$B$14</f>
        <v>-360000</v>
      </c>
      <c r="H19" s="16" t="n">
        <f aca="false">-H8*Assumptions!$B$10*Assumptions!$B$14</f>
        <v>-420000</v>
      </c>
      <c r="I19" s="16" t="n">
        <f aca="false">-I8*Assumptions!$B$10*Assumptions!$B$14</f>
        <v>-480000</v>
      </c>
      <c r="J19" s="16" t="n">
        <f aca="false">-J8*Assumptions!$B$10*Assumptions!$B$14</f>
        <v>-540000</v>
      </c>
      <c r="K19" s="16" t="n">
        <f aca="false">-K8*Assumptions!$B$10*Assumptions!$B$14</f>
        <v>-600000</v>
      </c>
      <c r="L19" s="16" t="n">
        <f aca="false">-L8*Assumptions!$B$10*Assumptions!$B$14</f>
        <v>-660000</v>
      </c>
      <c r="M19" s="16" t="n">
        <f aca="false">-M8*Assumptions!$B$10*Assumptions!$B$14</f>
        <v>-720000</v>
      </c>
      <c r="N19" s="16" t="n">
        <f aca="false">-N8*Assumptions!$B$10*Assumptions!$B$14</f>
        <v>-720000</v>
      </c>
      <c r="O19" s="16" t="n">
        <f aca="false">-O8*Assumptions!$B$10*Assumptions!$B$14</f>
        <v>-720000</v>
      </c>
      <c r="P19" s="16" t="n">
        <f aca="false">-P8*Assumptions!$B$10*Assumptions!$B$14</f>
        <v>-720000</v>
      </c>
      <c r="Q19" s="16" t="n">
        <f aca="false">-Q8*Assumptions!$B$10*Assumptions!$B$14</f>
        <v>-720000</v>
      </c>
      <c r="R19" s="16" t="n">
        <f aca="false">-R8*Assumptions!$B$10*Assumptions!$B$14</f>
        <v>-720000</v>
      </c>
      <c r="S19" s="16" t="n">
        <f aca="false">-S8*Assumptions!$B$10*Assumptions!$B$14</f>
        <v>-720000</v>
      </c>
      <c r="T19" s="16" t="n">
        <f aca="false">-T8*Assumptions!$B$10*Assumptions!$B$14</f>
        <v>-720000</v>
      </c>
      <c r="U19" s="16" t="n">
        <f aca="false">-U8*Assumptions!$B$10*Assumptions!$B$14</f>
        <v>-720000</v>
      </c>
      <c r="V19" s="16" t="n">
        <f aca="false">-V8*Assumptions!$B$10*Assumptions!$B$14</f>
        <v>-720000</v>
      </c>
      <c r="W19" s="16" t="n">
        <f aca="false">-W8*Assumptions!$B$10*Assumptions!$B$14</f>
        <v>-720000</v>
      </c>
      <c r="X19" s="16" t="n">
        <f aca="false">-X8*Assumptions!$B$10*Assumptions!$B$14</f>
        <v>-720000</v>
      </c>
      <c r="Y19" s="16" t="n">
        <f aca="false">-Y8*Assumptions!$B$10*Assumptions!$B$14</f>
        <v>-720000</v>
      </c>
    </row>
    <row r="20" customFormat="false" ht="15" hidden="false" customHeight="false" outlineLevel="0" collapsed="false">
      <c r="A20" s="4" t="s">
        <v>95</v>
      </c>
      <c r="B20" s="16" t="n">
        <f aca="false">-B5*(Assumptions!$B$9*Assumptions!$B$18+Assumptions!$B$19)*(1+Assumptions!$B$20)</f>
        <v>-61213.6</v>
      </c>
      <c r="C20" s="16" t="n">
        <f aca="false">-C5*(Assumptions!$B$9*Assumptions!$B$18+Assumptions!$B$19)*(1+Assumptions!$B$20)</f>
        <v>-61213.6</v>
      </c>
      <c r="D20" s="16" t="n">
        <f aca="false">-D5*(Assumptions!$B$9*Assumptions!$B$18+Assumptions!$B$19)*(1+Assumptions!$B$20)</f>
        <v>-61213.6</v>
      </c>
      <c r="E20" s="16" t="n">
        <f aca="false">-E5*(Assumptions!$B$9*Assumptions!$B$18+Assumptions!$B$19)*(1+Assumptions!$B$20)</f>
        <v>-61213.6</v>
      </c>
      <c r="F20" s="16" t="n">
        <f aca="false">-F5*(Assumptions!$B$9*Assumptions!$B$18+Assumptions!$B$19)*(1+Assumptions!$B$20)</f>
        <v>-61213.6</v>
      </c>
      <c r="G20" s="16" t="n">
        <f aca="false">-G5*(Assumptions!$B$9*Assumptions!$B$18+Assumptions!$B$19)*(1+Assumptions!$B$20)</f>
        <v>-61213.6</v>
      </c>
      <c r="H20" s="16" t="n">
        <f aca="false">-H5*(Assumptions!$B$9*Assumptions!$B$18+Assumptions!$B$19)*(1+Assumptions!$B$20)</f>
        <v>-61213.6</v>
      </c>
      <c r="I20" s="16" t="n">
        <f aca="false">-I5*(Assumptions!$B$9*Assumptions!$B$18+Assumptions!$B$19)*(1+Assumptions!$B$20)</f>
        <v>-61213.6</v>
      </c>
      <c r="J20" s="16" t="n">
        <f aca="false">-J5*(Assumptions!$B$9*Assumptions!$B$18+Assumptions!$B$19)*(1+Assumptions!$B$20)</f>
        <v>-61213.6</v>
      </c>
      <c r="K20" s="16" t="n">
        <f aca="false">-K5*(Assumptions!$B$9*Assumptions!$B$18+Assumptions!$B$19)*(1+Assumptions!$B$20)</f>
        <v>-61213.6</v>
      </c>
      <c r="L20" s="16" t="n">
        <f aca="false">-L5*(Assumptions!$B$9*Assumptions!$B$18+Assumptions!$B$19)*(1+Assumptions!$B$20)</f>
        <v>-61213.6</v>
      </c>
      <c r="M20" s="16" t="n">
        <f aca="false">-M5*(Assumptions!$B$9*Assumptions!$B$18+Assumptions!$B$19)*(1+Assumptions!$B$20)</f>
        <v>-61213.6</v>
      </c>
      <c r="N20" s="16" t="n">
        <f aca="false">-N5*(Assumptions!$B$9*Assumptions!$B$18+Assumptions!$B$19)*(1+Assumptions!$B$20)</f>
        <v>-61213.6</v>
      </c>
      <c r="O20" s="16" t="n">
        <f aca="false">-O5*(Assumptions!$B$9*Assumptions!$B$18+Assumptions!$B$19)*(1+Assumptions!$B$20)</f>
        <v>-61213.6</v>
      </c>
      <c r="P20" s="16" t="n">
        <f aca="false">-P5*(Assumptions!$B$9*Assumptions!$B$18+Assumptions!$B$19)*(1+Assumptions!$B$20)</f>
        <v>-61213.6</v>
      </c>
      <c r="Q20" s="16" t="n">
        <f aca="false">-Q5*(Assumptions!$B$9*Assumptions!$B$18+Assumptions!$B$19)*(1+Assumptions!$B$20)</f>
        <v>-61213.6</v>
      </c>
      <c r="R20" s="16" t="n">
        <f aca="false">-R5*(Assumptions!$B$9*Assumptions!$B$18+Assumptions!$B$19)*(1+Assumptions!$B$20)</f>
        <v>-61213.6</v>
      </c>
      <c r="S20" s="16" t="n">
        <f aca="false">-S5*(Assumptions!$B$9*Assumptions!$B$18+Assumptions!$B$19)*(1+Assumptions!$B$20)</f>
        <v>-61213.6</v>
      </c>
      <c r="T20" s="16" t="n">
        <f aca="false">-T5*(Assumptions!$B$9*Assumptions!$B$18+Assumptions!$B$19)*(1+Assumptions!$B$20)</f>
        <v>-61213.6</v>
      </c>
      <c r="U20" s="16" t="n">
        <f aca="false">-U5*(Assumptions!$B$9*Assumptions!$B$18+Assumptions!$B$19)*(1+Assumptions!$B$20)</f>
        <v>-61213.6</v>
      </c>
      <c r="V20" s="16" t="n">
        <f aca="false">-V5*(Assumptions!$B$9*Assumptions!$B$18+Assumptions!$B$19)*(1+Assumptions!$B$20)</f>
        <v>-61213.6</v>
      </c>
      <c r="W20" s="16" t="n">
        <f aca="false">-W5*(Assumptions!$B$9*Assumptions!$B$18+Assumptions!$B$19)*(1+Assumptions!$B$20)</f>
        <v>-61213.6</v>
      </c>
      <c r="X20" s="16" t="n">
        <f aca="false">-X5*(Assumptions!$B$9*Assumptions!$B$18+Assumptions!$B$19)*(1+Assumptions!$B$20)</f>
        <v>-61213.6</v>
      </c>
      <c r="Y20" s="16" t="n">
        <f aca="false">-Y5*(Assumptions!$B$9*Assumptions!$B$18+Assumptions!$B$19)*(1+Assumptions!$B$20)</f>
        <v>-61213.6</v>
      </c>
    </row>
    <row r="21" customFormat="false" ht="15" hidden="false" customHeight="false" outlineLevel="0" collapsed="false">
      <c r="A21" s="4" t="s">
        <v>96</v>
      </c>
      <c r="B21" s="16" t="n">
        <f aca="false">-B7*(Assumptions!$B$10*Assumptions!$B$18+Assumptions!$B$19)*(1+Assumptions!$B$20)</f>
        <v>-25632.6</v>
      </c>
      <c r="C21" s="16" t="n">
        <f aca="false">-C7*(Assumptions!$B$10*Assumptions!$B$18+Assumptions!$B$19)*(1+Assumptions!$B$20)</f>
        <v>-51265.2</v>
      </c>
      <c r="D21" s="16" t="n">
        <f aca="false">-D7*(Assumptions!$B$10*Assumptions!$B$18+Assumptions!$B$19)*(1+Assumptions!$B$20)</f>
        <v>-76897.8</v>
      </c>
      <c r="E21" s="16" t="n">
        <f aca="false">-E7*(Assumptions!$B$10*Assumptions!$B$18+Assumptions!$B$19)*(1+Assumptions!$B$20)</f>
        <v>-102530.4</v>
      </c>
      <c r="F21" s="16" t="n">
        <f aca="false">-F7*(Assumptions!$B$10*Assumptions!$B$18+Assumptions!$B$19)*(1+Assumptions!$B$20)</f>
        <v>-128163</v>
      </c>
      <c r="G21" s="16" t="n">
        <f aca="false">-G7*(Assumptions!$B$10*Assumptions!$B$18+Assumptions!$B$19)*(1+Assumptions!$B$20)</f>
        <v>-153795.6</v>
      </c>
      <c r="H21" s="16" t="n">
        <f aca="false">-H7*(Assumptions!$B$10*Assumptions!$B$18+Assumptions!$B$19)*(1+Assumptions!$B$20)</f>
        <v>-179428.2</v>
      </c>
      <c r="I21" s="16" t="n">
        <f aca="false">-I7*(Assumptions!$B$10*Assumptions!$B$18+Assumptions!$B$19)*(1+Assumptions!$B$20)</f>
        <v>-205060.8</v>
      </c>
      <c r="J21" s="16" t="n">
        <f aca="false">-J7*(Assumptions!$B$10*Assumptions!$B$18+Assumptions!$B$19)*(1+Assumptions!$B$20)</f>
        <v>-230693.4</v>
      </c>
      <c r="K21" s="16" t="n">
        <f aca="false">-K7*(Assumptions!$B$10*Assumptions!$B$18+Assumptions!$B$19)*(1+Assumptions!$B$20)</f>
        <v>-256326</v>
      </c>
      <c r="L21" s="16" t="n">
        <f aca="false">-L7*(Assumptions!$B$10*Assumptions!$B$18+Assumptions!$B$19)*(1+Assumptions!$B$20)</f>
        <v>-281958.6</v>
      </c>
      <c r="M21" s="16" t="n">
        <f aca="false">-M7*(Assumptions!$B$10*Assumptions!$B$18+Assumptions!$B$19)*(1+Assumptions!$B$20)</f>
        <v>-307591.2</v>
      </c>
      <c r="N21" s="16" t="n">
        <f aca="false">-N7*(Assumptions!$B$10*Assumptions!$B$18+Assumptions!$B$19)*(1+Assumptions!$B$20)</f>
        <v>-333223.8</v>
      </c>
      <c r="O21" s="16" t="n">
        <f aca="false">-O7*(Assumptions!$B$10*Assumptions!$B$18+Assumptions!$B$19)*(1+Assumptions!$B$20)</f>
        <v>-358856.4</v>
      </c>
      <c r="P21" s="16" t="n">
        <f aca="false">-P7*(Assumptions!$B$10*Assumptions!$B$18+Assumptions!$B$19)*(1+Assumptions!$B$20)</f>
        <v>-384489</v>
      </c>
      <c r="Q21" s="16" t="n">
        <f aca="false">-Q7*(Assumptions!$B$10*Assumptions!$B$18+Assumptions!$B$19)*(1+Assumptions!$B$20)</f>
        <v>-410121.6</v>
      </c>
      <c r="R21" s="16" t="n">
        <f aca="false">-R7*(Assumptions!$B$10*Assumptions!$B$18+Assumptions!$B$19)*(1+Assumptions!$B$20)</f>
        <v>-435754.2</v>
      </c>
      <c r="S21" s="16" t="n">
        <f aca="false">-S7*(Assumptions!$B$10*Assumptions!$B$18+Assumptions!$B$19)*(1+Assumptions!$B$20)</f>
        <v>-461386.8</v>
      </c>
      <c r="T21" s="16" t="n">
        <f aca="false">-T7*(Assumptions!$B$10*Assumptions!$B$18+Assumptions!$B$19)*(1+Assumptions!$B$20)</f>
        <v>-487019.4</v>
      </c>
      <c r="U21" s="16" t="n">
        <f aca="false">-U7*(Assumptions!$B$10*Assumptions!$B$18+Assumptions!$B$19)*(1+Assumptions!$B$20)</f>
        <v>-512652</v>
      </c>
      <c r="V21" s="16" t="n">
        <f aca="false">-V7*(Assumptions!$B$10*Assumptions!$B$18+Assumptions!$B$19)*(1+Assumptions!$B$20)</f>
        <v>-538284.6</v>
      </c>
      <c r="W21" s="16" t="n">
        <f aca="false">-W7*(Assumptions!$B$10*Assumptions!$B$18+Assumptions!$B$19)*(1+Assumptions!$B$20)</f>
        <v>-563917.2</v>
      </c>
      <c r="X21" s="16" t="n">
        <f aca="false">-X7*(Assumptions!$B$10*Assumptions!$B$18+Assumptions!$B$19)*(1+Assumptions!$B$20)</f>
        <v>-589549.8</v>
      </c>
      <c r="Y21" s="16" t="n">
        <f aca="false">-Y7*(Assumptions!$B$10*Assumptions!$B$18+Assumptions!$B$19)*(1+Assumptions!$B$20)</f>
        <v>-615182.4</v>
      </c>
    </row>
    <row r="22" customFormat="false" ht="15" hidden="false" customHeight="false" outlineLevel="0" collapsed="false">
      <c r="A22" s="4" t="s">
        <v>97</v>
      </c>
      <c r="B22" s="16" t="n">
        <f aca="false">-B15*Assumptions!$B$22</f>
        <v>-12941.1764705882</v>
      </c>
      <c r="C22" s="16" t="n">
        <f aca="false">-C15*Assumptions!$B$22</f>
        <v>-16470.5882352941</v>
      </c>
      <c r="D22" s="16" t="n">
        <f aca="false">-D15*Assumptions!$B$22</f>
        <v>-20000</v>
      </c>
      <c r="E22" s="16" t="n">
        <f aca="false">-E15*Assumptions!$B$22</f>
        <v>-23529.4117647059</v>
      </c>
      <c r="F22" s="16" t="n">
        <f aca="false">-F15*Assumptions!$B$22</f>
        <v>-27058.8235294118</v>
      </c>
      <c r="G22" s="16" t="n">
        <f aca="false">-G15*Assumptions!$B$22</f>
        <v>-30588.2352941177</v>
      </c>
      <c r="H22" s="16" t="n">
        <f aca="false">-H15*Assumptions!$B$22</f>
        <v>-34117.6470588235</v>
      </c>
      <c r="I22" s="16" t="n">
        <f aca="false">-I15*Assumptions!$B$22</f>
        <v>-37647.0588235294</v>
      </c>
      <c r="J22" s="16" t="n">
        <f aca="false">-J15*Assumptions!$B$22</f>
        <v>-41176.4705882353</v>
      </c>
      <c r="K22" s="16" t="n">
        <f aca="false">-K15*Assumptions!$B$22</f>
        <v>-44705.8823529412</v>
      </c>
      <c r="L22" s="16" t="n">
        <f aca="false">-L15*Assumptions!$B$22</f>
        <v>-48235.2941176471</v>
      </c>
      <c r="M22" s="16" t="n">
        <f aca="false">-M15*Assumptions!$B$22</f>
        <v>-51764.7058823529</v>
      </c>
      <c r="N22" s="16" t="n">
        <f aca="false">-N15*Assumptions!$B$22</f>
        <v>-55294.1176470588</v>
      </c>
      <c r="O22" s="16" t="n">
        <f aca="false">-O15*Assumptions!$B$22</f>
        <v>-58823.5294117647</v>
      </c>
      <c r="P22" s="16" t="n">
        <f aca="false">-P15*Assumptions!$B$22</f>
        <v>-62352.9411764706</v>
      </c>
      <c r="Q22" s="16" t="n">
        <f aca="false">-Q15*Assumptions!$B$22</f>
        <v>-65882.3529411765</v>
      </c>
      <c r="R22" s="16" t="n">
        <f aca="false">-R15*Assumptions!$B$22</f>
        <v>-69411.7647058824</v>
      </c>
      <c r="S22" s="16" t="n">
        <f aca="false">-S15*Assumptions!$B$22</f>
        <v>-72941.1764705882</v>
      </c>
      <c r="T22" s="16" t="n">
        <f aca="false">-T15*Assumptions!$B$22</f>
        <v>-76470.5882352941</v>
      </c>
      <c r="U22" s="16" t="n">
        <f aca="false">-U15*Assumptions!$B$22</f>
        <v>-80000</v>
      </c>
      <c r="V22" s="16" t="n">
        <f aca="false">-V15*Assumptions!$B$22</f>
        <v>-83529.4117647059</v>
      </c>
      <c r="W22" s="16" t="n">
        <f aca="false">-W15*Assumptions!$B$22</f>
        <v>-87058.8235294118</v>
      </c>
      <c r="X22" s="16" t="n">
        <f aca="false">-X15*Assumptions!$B$22</f>
        <v>-90588.2352941177</v>
      </c>
      <c r="Y22" s="16" t="n">
        <f aca="false">-Y15*Assumptions!$B$22</f>
        <v>-94117.6470588235</v>
      </c>
    </row>
    <row r="23" customFormat="false" ht="15" hidden="false" customHeight="false" outlineLevel="0" collapsed="false">
      <c r="A23" s="17" t="s">
        <v>98</v>
      </c>
      <c r="B23" s="18" t="n">
        <f aca="false">SUM(B18:B22)</f>
        <v>-479787.376470588</v>
      </c>
      <c r="C23" s="18" t="n">
        <f aca="false">SUM(C18:C22)</f>
        <v>-568949.388235294</v>
      </c>
      <c r="D23" s="18" t="n">
        <f aca="false">SUM(D18:D22)</f>
        <v>-658111.4</v>
      </c>
      <c r="E23" s="18" t="n">
        <f aca="false">SUM(E18:E22)</f>
        <v>-747273.411764706</v>
      </c>
      <c r="F23" s="18" t="n">
        <f aca="false">SUM(F18:F22)</f>
        <v>-836435.423529412</v>
      </c>
      <c r="G23" s="18" t="n">
        <f aca="false">SUM(G18:G22)</f>
        <v>-925597.435294118</v>
      </c>
      <c r="H23" s="18" t="n">
        <f aca="false">SUM(H18:H22)</f>
        <v>-1014759.44705882</v>
      </c>
      <c r="I23" s="18" t="n">
        <f aca="false">SUM(I18:I22)</f>
        <v>-1103921.45882353</v>
      </c>
      <c r="J23" s="18" t="n">
        <f aca="false">SUM(J18:J22)</f>
        <v>-1193083.47058824</v>
      </c>
      <c r="K23" s="18" t="n">
        <f aca="false">SUM(K18:K22)</f>
        <v>-1282245.48235294</v>
      </c>
      <c r="L23" s="18" t="n">
        <f aca="false">SUM(L18:L22)</f>
        <v>-1371407.49411765</v>
      </c>
      <c r="M23" s="18" t="n">
        <f aca="false">SUM(M18:M22)</f>
        <v>-1460569.50588235</v>
      </c>
      <c r="N23" s="18" t="n">
        <f aca="false">SUM(N18:N22)</f>
        <v>-1489731.51764706</v>
      </c>
      <c r="O23" s="18" t="n">
        <f aca="false">SUM(O18:O22)</f>
        <v>-1518893.52941176</v>
      </c>
      <c r="P23" s="18" t="n">
        <f aca="false">SUM(P18:P22)</f>
        <v>-1548055.54117647</v>
      </c>
      <c r="Q23" s="18" t="n">
        <f aca="false">SUM(Q18:Q22)</f>
        <v>-1577217.55294118</v>
      </c>
      <c r="R23" s="18" t="n">
        <f aca="false">SUM(R18:R22)</f>
        <v>-1606379.56470588</v>
      </c>
      <c r="S23" s="18" t="n">
        <f aca="false">SUM(S18:S22)</f>
        <v>-1635541.57647059</v>
      </c>
      <c r="T23" s="18" t="n">
        <f aca="false">SUM(T18:T22)</f>
        <v>-1664703.58823529</v>
      </c>
      <c r="U23" s="18" t="n">
        <f aca="false">SUM(U18:U22)</f>
        <v>-1693865.6</v>
      </c>
      <c r="V23" s="18" t="n">
        <f aca="false">SUM(V18:V22)</f>
        <v>-1723027.61176471</v>
      </c>
      <c r="W23" s="18" t="n">
        <f aca="false">SUM(W18:W22)</f>
        <v>-1752189.62352941</v>
      </c>
      <c r="X23" s="18" t="n">
        <f aca="false">SUM(X18:X22)</f>
        <v>-1781351.63529412</v>
      </c>
      <c r="Y23" s="18" t="n">
        <f aca="false">SUM(Y18:Y22)</f>
        <v>-1810513.64705882</v>
      </c>
    </row>
    <row r="25" customFormat="false" ht="15" hidden="false" customHeight="false" outlineLevel="0" collapsed="false">
      <c r="A25" s="17" t="s">
        <v>99</v>
      </c>
      <c r="B25" s="18" t="n">
        <f aca="false">B15+B23</f>
        <v>1368952.11932773</v>
      </c>
      <c r="C25" s="18" t="n">
        <f aca="false">C15+C23</f>
        <v>1783991.78823529</v>
      </c>
      <c r="D25" s="18" t="n">
        <f aca="false">D15+D23</f>
        <v>2199031.45714286</v>
      </c>
      <c r="E25" s="18" t="n">
        <f aca="false">E15+E23</f>
        <v>2614071.12605042</v>
      </c>
      <c r="F25" s="18" t="n">
        <f aca="false">F15+F23</f>
        <v>3029110.79495798</v>
      </c>
      <c r="G25" s="18" t="n">
        <f aca="false">G15+G23</f>
        <v>3444150.46386555</v>
      </c>
      <c r="H25" s="18" t="n">
        <f aca="false">H15+H23</f>
        <v>3859190.13277311</v>
      </c>
      <c r="I25" s="18" t="n">
        <f aca="false">I15+I23</f>
        <v>4274229.80168067</v>
      </c>
      <c r="J25" s="18" t="n">
        <f aca="false">J15+J23</f>
        <v>4689269.47058824</v>
      </c>
      <c r="K25" s="18" t="n">
        <f aca="false">K15+K23</f>
        <v>5104309.1394958</v>
      </c>
      <c r="L25" s="18" t="n">
        <f aca="false">L15+L23</f>
        <v>5519348.80840336</v>
      </c>
      <c r="M25" s="18" t="n">
        <f aca="false">M15+M23</f>
        <v>5934388.47731092</v>
      </c>
      <c r="N25" s="18" t="n">
        <f aca="false">N15+N23</f>
        <v>6409428.14621849</v>
      </c>
      <c r="O25" s="18" t="n">
        <f aca="false">O15+O23</f>
        <v>6884467.81512605</v>
      </c>
      <c r="P25" s="18" t="n">
        <f aca="false">P15+P23</f>
        <v>7359507.48403361</v>
      </c>
      <c r="Q25" s="18" t="n">
        <f aca="false">Q15+Q23</f>
        <v>7834547.15294118</v>
      </c>
      <c r="R25" s="18" t="n">
        <f aca="false">R15+R23</f>
        <v>8309586.82184874</v>
      </c>
      <c r="S25" s="18" t="n">
        <f aca="false">S15+S23</f>
        <v>8784626.4907563</v>
      </c>
      <c r="T25" s="18" t="n">
        <f aca="false">T15+T23</f>
        <v>9259666.15966387</v>
      </c>
      <c r="U25" s="18" t="n">
        <f aca="false">U15+U23</f>
        <v>9734705.82857143</v>
      </c>
      <c r="V25" s="18" t="n">
        <f aca="false">V15+V23</f>
        <v>10209745.497479</v>
      </c>
      <c r="W25" s="18" t="n">
        <f aca="false">W15+W23</f>
        <v>10684785.1663866</v>
      </c>
      <c r="X25" s="18" t="n">
        <f aca="false">X15+X23</f>
        <v>11159824.8352941</v>
      </c>
      <c r="Y25" s="18" t="n">
        <f aca="false">Y15+Y23</f>
        <v>11634864.5042017</v>
      </c>
    </row>
    <row r="26" customFormat="false" ht="15" hidden="false" customHeight="false" outlineLevel="0" collapsed="false">
      <c r="A26" s="4" t="s">
        <v>100</v>
      </c>
      <c r="B26" s="19" t="n">
        <f aca="false">IFERROR(B25/B15,0)</f>
        <v>0.740478646363636</v>
      </c>
      <c r="C26" s="19" t="n">
        <f aca="false">IFERROR(C25/C15,0)</f>
        <v>0.75819651</v>
      </c>
      <c r="D26" s="19" t="n">
        <f aca="false">IFERROR(D25/D15,0)</f>
        <v>0.76966101</v>
      </c>
      <c r="E26" s="19" t="n">
        <f aca="false">IFERROR(E25/E15,0)</f>
        <v>0.77768616</v>
      </c>
      <c r="F26" s="19" t="n">
        <f aca="false">IFERROR(F25/F15,0)</f>
        <v>0.783617792608696</v>
      </c>
      <c r="G26" s="19" t="n">
        <f aca="false">IFERROR(G25/G15,0)</f>
        <v>0.788180586923077</v>
      </c>
      <c r="H26" s="19" t="n">
        <f aca="false">IFERROR(H25/H15,0)</f>
        <v>0.791799354827586</v>
      </c>
      <c r="I26" s="19" t="n">
        <f aca="false">IFERROR(I25/I15,0)</f>
        <v>0.79473960375</v>
      </c>
      <c r="J26" s="19" t="n">
        <f aca="false">IFERROR(J25/J15,0)</f>
        <v>0.79717581</v>
      </c>
      <c r="K26" s="19" t="n">
        <f aca="false">IFERROR(K25/K15,0)</f>
        <v>0.799227352105263</v>
      </c>
      <c r="L26" s="19" t="n">
        <f aca="false">IFERROR(L25/L15,0)</f>
        <v>0.800978668536585</v>
      </c>
      <c r="M26" s="19" t="n">
        <f aca="false">IFERROR(M25/M15,0)</f>
        <v>0.802491169090909</v>
      </c>
      <c r="N26" s="19" t="n">
        <f aca="false">IFERROR(N25/N15,0)</f>
        <v>0.811406329148936</v>
      </c>
      <c r="O26" s="19" t="n">
        <f aca="false">IFERROR(O25/O15,0)</f>
        <v>0.81925167</v>
      </c>
      <c r="P26" s="19" t="n">
        <f aca="false">IFERROR(P25/P15,0)</f>
        <v>0.826208859056604</v>
      </c>
      <c r="Q26" s="19" t="n">
        <f aca="false">IFERROR(Q25/Q15,0)</f>
        <v>0.832420635</v>
      </c>
      <c r="R26" s="19" t="n">
        <f aca="false">IFERROR(R25/R15,0)</f>
        <v>0.838000704915254</v>
      </c>
      <c r="S26" s="19" t="n">
        <f aca="false">IFERROR(S25/S15,0)</f>
        <v>0.843040768064516</v>
      </c>
      <c r="T26" s="19" t="n">
        <f aca="false">IFERROR(T25/T15,0)</f>
        <v>0.847615594615385</v>
      </c>
      <c r="U26" s="19" t="n">
        <f aca="false">IFERROR(U25/U15,0)</f>
        <v>0.85178676</v>
      </c>
      <c r="V26" s="19" t="n">
        <f aca="false">IFERROR(V25/V15,0)</f>
        <v>0.855605432535211</v>
      </c>
      <c r="W26" s="19" t="n">
        <f aca="false">IFERROR(W25/W15,0)</f>
        <v>0.859114482972973</v>
      </c>
      <c r="X26" s="19" t="n">
        <f aca="false">IFERROR(X25/X15,0)</f>
        <v>0.862350100909091</v>
      </c>
      <c r="Y26" s="19" t="n">
        <f aca="false">IFERROR(Y25/Y15,0)</f>
        <v>0.8653430475</v>
      </c>
    </row>
    <row r="28" customFormat="false" ht="15" hidden="false" customHeight="false" outlineLevel="0" collapsed="false">
      <c r="A28" s="9" t="s">
        <v>101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customFormat="false" ht="15" hidden="false" customHeight="false" outlineLevel="0" collapsed="false">
      <c r="A29" s="4" t="s">
        <v>102</v>
      </c>
      <c r="B29" s="16" t="n">
        <f aca="false">-Assumptions!$B$25</f>
        <v>-20000</v>
      </c>
      <c r="C29" s="16" t="n">
        <f aca="false">-Assumptions!$B$25</f>
        <v>-20000</v>
      </c>
      <c r="D29" s="16" t="n">
        <f aca="false">-Assumptions!$B$25</f>
        <v>-20000</v>
      </c>
      <c r="E29" s="16" t="n">
        <f aca="false">-Assumptions!$B$25</f>
        <v>-20000</v>
      </c>
      <c r="F29" s="16" t="n">
        <f aca="false">-Assumptions!$B$25</f>
        <v>-20000</v>
      </c>
      <c r="G29" s="16" t="n">
        <f aca="false">-Assumptions!$B$25</f>
        <v>-20000</v>
      </c>
      <c r="H29" s="16" t="n">
        <f aca="false">-Assumptions!$B$25</f>
        <v>-20000</v>
      </c>
      <c r="I29" s="16" t="n">
        <f aca="false">-Assumptions!$B$25</f>
        <v>-20000</v>
      </c>
      <c r="J29" s="16" t="n">
        <f aca="false">-Assumptions!$B$25</f>
        <v>-20000</v>
      </c>
      <c r="K29" s="16" t="n">
        <f aca="false">-Assumptions!$B$25</f>
        <v>-20000</v>
      </c>
      <c r="L29" s="16" t="n">
        <f aca="false">-Assumptions!$B$25</f>
        <v>-20000</v>
      </c>
      <c r="M29" s="16" t="n">
        <f aca="false">-Assumptions!$B$25</f>
        <v>-20000</v>
      </c>
      <c r="N29" s="16" t="n">
        <f aca="false">-Assumptions!$B$25</f>
        <v>-20000</v>
      </c>
      <c r="O29" s="16" t="n">
        <f aca="false">-Assumptions!$B$25</f>
        <v>-20000</v>
      </c>
      <c r="P29" s="16" t="n">
        <f aca="false">-Assumptions!$B$25</f>
        <v>-20000</v>
      </c>
      <c r="Q29" s="16" t="n">
        <f aca="false">-Assumptions!$B$25</f>
        <v>-20000</v>
      </c>
      <c r="R29" s="16" t="n">
        <f aca="false">-Assumptions!$B$25</f>
        <v>-20000</v>
      </c>
      <c r="S29" s="16" t="n">
        <f aca="false">-Assumptions!$B$25</f>
        <v>-20000</v>
      </c>
      <c r="T29" s="16" t="n">
        <f aca="false">-Assumptions!$B$25</f>
        <v>-20000</v>
      </c>
      <c r="U29" s="16" t="n">
        <f aca="false">-Assumptions!$B$25</f>
        <v>-20000</v>
      </c>
      <c r="V29" s="16" t="n">
        <f aca="false">-Assumptions!$B$25</f>
        <v>-20000</v>
      </c>
      <c r="W29" s="16" t="n">
        <f aca="false">-Assumptions!$B$25</f>
        <v>-20000</v>
      </c>
      <c r="X29" s="16" t="n">
        <f aca="false">-Assumptions!$B$25</f>
        <v>-20000</v>
      </c>
      <c r="Y29" s="16" t="n">
        <f aca="false">-Assumptions!$B$25</f>
        <v>-20000</v>
      </c>
    </row>
    <row r="30" customFormat="false" ht="15" hidden="false" customHeight="false" outlineLevel="0" collapsed="false">
      <c r="A30" s="4" t="s">
        <v>103</v>
      </c>
      <c r="B30" s="16" t="n">
        <f aca="false">-Assumptions!$B$26</f>
        <v>-160000</v>
      </c>
      <c r="C30" s="16" t="n">
        <f aca="false">-Assumptions!$B$26</f>
        <v>-160000</v>
      </c>
      <c r="D30" s="16" t="n">
        <f aca="false">-Assumptions!$B$26</f>
        <v>-160000</v>
      </c>
      <c r="E30" s="16" t="n">
        <f aca="false">-Assumptions!$B$26</f>
        <v>-160000</v>
      </c>
      <c r="F30" s="16" t="n">
        <f aca="false">-Assumptions!$B$26</f>
        <v>-160000</v>
      </c>
      <c r="G30" s="16" t="n">
        <f aca="false">-Assumptions!$B$26</f>
        <v>-160000</v>
      </c>
      <c r="H30" s="16" t="n">
        <f aca="false">-Assumptions!$B$26</f>
        <v>-160000</v>
      </c>
      <c r="I30" s="16" t="n">
        <f aca="false">-Assumptions!$B$26</f>
        <v>-160000</v>
      </c>
      <c r="J30" s="16" t="n">
        <f aca="false">-Assumptions!$B$26</f>
        <v>-160000</v>
      </c>
      <c r="K30" s="16" t="n">
        <f aca="false">-Assumptions!$B$26</f>
        <v>-160000</v>
      </c>
      <c r="L30" s="16" t="n">
        <f aca="false">-Assumptions!$B$26</f>
        <v>-160000</v>
      </c>
      <c r="M30" s="16" t="n">
        <f aca="false">-Assumptions!$B$26</f>
        <v>-160000</v>
      </c>
      <c r="N30" s="16" t="n">
        <f aca="false">-Assumptions!$B$26</f>
        <v>-160000</v>
      </c>
      <c r="O30" s="16" t="n">
        <f aca="false">-Assumptions!$B$26</f>
        <v>-160000</v>
      </c>
      <c r="P30" s="16" t="n">
        <f aca="false">-Assumptions!$B$26</f>
        <v>-160000</v>
      </c>
      <c r="Q30" s="16" t="n">
        <f aca="false">-Assumptions!$B$26</f>
        <v>-160000</v>
      </c>
      <c r="R30" s="16" t="n">
        <f aca="false">-Assumptions!$B$26</f>
        <v>-160000</v>
      </c>
      <c r="S30" s="16" t="n">
        <f aca="false">-Assumptions!$B$26</f>
        <v>-160000</v>
      </c>
      <c r="T30" s="16" t="n">
        <f aca="false">-Assumptions!$B$26</f>
        <v>-160000</v>
      </c>
      <c r="U30" s="16" t="n">
        <f aca="false">-Assumptions!$B$26</f>
        <v>-160000</v>
      </c>
      <c r="V30" s="16" t="n">
        <f aca="false">-Assumptions!$B$26</f>
        <v>-160000</v>
      </c>
      <c r="W30" s="16" t="n">
        <f aca="false">-Assumptions!$B$26</f>
        <v>-160000</v>
      </c>
      <c r="X30" s="16" t="n">
        <f aca="false">-Assumptions!$B$26</f>
        <v>-160000</v>
      </c>
      <c r="Y30" s="16" t="n">
        <f aca="false">-Assumptions!$B$26</f>
        <v>-160000</v>
      </c>
    </row>
    <row r="31" customFormat="false" ht="15" hidden="false" customHeight="false" outlineLevel="0" collapsed="false">
      <c r="A31" s="4" t="s">
        <v>104</v>
      </c>
      <c r="B31" s="16" t="n">
        <f aca="false">-Assumptions!$B$27</f>
        <v>-20000</v>
      </c>
      <c r="C31" s="16" t="n">
        <f aca="false">-Assumptions!$B$27</f>
        <v>-20000</v>
      </c>
      <c r="D31" s="16" t="n">
        <f aca="false">-Assumptions!$B$27</f>
        <v>-20000</v>
      </c>
      <c r="E31" s="16" t="n">
        <f aca="false">-Assumptions!$B$27</f>
        <v>-20000</v>
      </c>
      <c r="F31" s="16" t="n">
        <f aca="false">-Assumptions!$B$27</f>
        <v>-20000</v>
      </c>
      <c r="G31" s="16" t="n">
        <f aca="false">-Assumptions!$B$27</f>
        <v>-20000</v>
      </c>
      <c r="H31" s="16" t="n">
        <f aca="false">-Assumptions!$B$27</f>
        <v>-20000</v>
      </c>
      <c r="I31" s="16" t="n">
        <f aca="false">-Assumptions!$B$27</f>
        <v>-20000</v>
      </c>
      <c r="J31" s="16" t="n">
        <f aca="false">-Assumptions!$B$27</f>
        <v>-20000</v>
      </c>
      <c r="K31" s="16" t="n">
        <f aca="false">-Assumptions!$B$27</f>
        <v>-20000</v>
      </c>
      <c r="L31" s="16" t="n">
        <f aca="false">-Assumptions!$B$27</f>
        <v>-20000</v>
      </c>
      <c r="M31" s="16" t="n">
        <f aca="false">-Assumptions!$B$27</f>
        <v>-20000</v>
      </c>
      <c r="N31" s="16" t="n">
        <f aca="false">-Assumptions!$B$27</f>
        <v>-20000</v>
      </c>
      <c r="O31" s="16" t="n">
        <f aca="false">-Assumptions!$B$27</f>
        <v>-20000</v>
      </c>
      <c r="P31" s="16" t="n">
        <f aca="false">-Assumptions!$B$27</f>
        <v>-20000</v>
      </c>
      <c r="Q31" s="16" t="n">
        <f aca="false">-Assumptions!$B$27</f>
        <v>-20000</v>
      </c>
      <c r="R31" s="16" t="n">
        <f aca="false">-Assumptions!$B$27</f>
        <v>-20000</v>
      </c>
      <c r="S31" s="16" t="n">
        <f aca="false">-Assumptions!$B$27</f>
        <v>-20000</v>
      </c>
      <c r="T31" s="16" t="n">
        <f aca="false">-Assumptions!$B$27</f>
        <v>-20000</v>
      </c>
      <c r="U31" s="16" t="n">
        <f aca="false">-Assumptions!$B$27</f>
        <v>-20000</v>
      </c>
      <c r="V31" s="16" t="n">
        <f aca="false">-Assumptions!$B$27</f>
        <v>-20000</v>
      </c>
      <c r="W31" s="16" t="n">
        <f aca="false">-Assumptions!$B$27</f>
        <v>-20000</v>
      </c>
      <c r="X31" s="16" t="n">
        <f aca="false">-Assumptions!$B$27</f>
        <v>-20000</v>
      </c>
      <c r="Y31" s="16" t="n">
        <f aca="false">-Assumptions!$B$27</f>
        <v>-20000</v>
      </c>
    </row>
    <row r="32" customFormat="false" ht="15" hidden="false" customHeight="false" outlineLevel="0" collapsed="false">
      <c r="A32" s="4" t="s">
        <v>105</v>
      </c>
      <c r="B32" s="16" t="n">
        <f aca="false">-Assumptions!$B$28</f>
        <v>-80000</v>
      </c>
      <c r="C32" s="16" t="n">
        <f aca="false">-Assumptions!$B$28</f>
        <v>-80000</v>
      </c>
      <c r="D32" s="16" t="n">
        <f aca="false">-Assumptions!$B$28</f>
        <v>-80000</v>
      </c>
      <c r="E32" s="16" t="n">
        <f aca="false">-Assumptions!$B$28</f>
        <v>-80000</v>
      </c>
      <c r="F32" s="16" t="n">
        <f aca="false">-Assumptions!$B$28</f>
        <v>-80000</v>
      </c>
      <c r="G32" s="16" t="n">
        <f aca="false">-Assumptions!$B$28</f>
        <v>-80000</v>
      </c>
      <c r="H32" s="16" t="n">
        <f aca="false">-Assumptions!$B$28</f>
        <v>-80000</v>
      </c>
      <c r="I32" s="16" t="n">
        <f aca="false">-Assumptions!$B$28</f>
        <v>-80000</v>
      </c>
      <c r="J32" s="16" t="n">
        <f aca="false">-Assumptions!$B$28</f>
        <v>-80000</v>
      </c>
      <c r="K32" s="16" t="n">
        <f aca="false">-Assumptions!$B$28</f>
        <v>-80000</v>
      </c>
      <c r="L32" s="16" t="n">
        <f aca="false">-Assumptions!$B$28</f>
        <v>-80000</v>
      </c>
      <c r="M32" s="16" t="n">
        <f aca="false">-Assumptions!$B$28</f>
        <v>-80000</v>
      </c>
      <c r="N32" s="16" t="n">
        <f aca="false">-Assumptions!$B$28</f>
        <v>-80000</v>
      </c>
      <c r="O32" s="16" t="n">
        <f aca="false">-Assumptions!$B$28</f>
        <v>-80000</v>
      </c>
      <c r="P32" s="16" t="n">
        <f aca="false">-Assumptions!$B$28</f>
        <v>-80000</v>
      </c>
      <c r="Q32" s="16" t="n">
        <f aca="false">-Assumptions!$B$28</f>
        <v>-80000</v>
      </c>
      <c r="R32" s="16" t="n">
        <f aca="false">-Assumptions!$B$28</f>
        <v>-80000</v>
      </c>
      <c r="S32" s="16" t="n">
        <f aca="false">-Assumptions!$B$28</f>
        <v>-80000</v>
      </c>
      <c r="T32" s="16" t="n">
        <f aca="false">-Assumptions!$B$28</f>
        <v>-80000</v>
      </c>
      <c r="U32" s="16" t="n">
        <f aca="false">-Assumptions!$B$28</f>
        <v>-80000</v>
      </c>
      <c r="V32" s="16" t="n">
        <f aca="false">-Assumptions!$B$28</f>
        <v>-80000</v>
      </c>
      <c r="W32" s="16" t="n">
        <f aca="false">-Assumptions!$B$28</f>
        <v>-80000</v>
      </c>
      <c r="X32" s="16" t="n">
        <f aca="false">-Assumptions!$B$28</f>
        <v>-80000</v>
      </c>
      <c r="Y32" s="16" t="n">
        <f aca="false">-Assumptions!$B$28</f>
        <v>-80000</v>
      </c>
    </row>
    <row r="33" customFormat="false" ht="15" hidden="false" customHeight="false" outlineLevel="0" collapsed="false">
      <c r="A33" s="4" t="s">
        <v>106</v>
      </c>
      <c r="B33" s="16" t="n">
        <f aca="false">-Assumptions!$B$29</f>
        <v>-5000</v>
      </c>
      <c r="C33" s="16" t="n">
        <f aca="false">-Assumptions!$B$29</f>
        <v>-5000</v>
      </c>
      <c r="D33" s="16" t="n">
        <f aca="false">-Assumptions!$B$29</f>
        <v>-5000</v>
      </c>
      <c r="E33" s="16" t="n">
        <f aca="false">-Assumptions!$B$29</f>
        <v>-5000</v>
      </c>
      <c r="F33" s="16" t="n">
        <f aca="false">-Assumptions!$B$29</f>
        <v>-5000</v>
      </c>
      <c r="G33" s="16" t="n">
        <f aca="false">-Assumptions!$B$29</f>
        <v>-5000</v>
      </c>
      <c r="H33" s="16" t="n">
        <f aca="false">-Assumptions!$B$29</f>
        <v>-5000</v>
      </c>
      <c r="I33" s="16" t="n">
        <f aca="false">-Assumptions!$B$29</f>
        <v>-5000</v>
      </c>
      <c r="J33" s="16" t="n">
        <f aca="false">-Assumptions!$B$29</f>
        <v>-5000</v>
      </c>
      <c r="K33" s="16" t="n">
        <f aca="false">-Assumptions!$B$29</f>
        <v>-5000</v>
      </c>
      <c r="L33" s="16" t="n">
        <f aca="false">-Assumptions!$B$29</f>
        <v>-5000</v>
      </c>
      <c r="M33" s="16" t="n">
        <f aca="false">-Assumptions!$B$29</f>
        <v>-5000</v>
      </c>
      <c r="N33" s="16" t="n">
        <f aca="false">-Assumptions!$B$29</f>
        <v>-5000</v>
      </c>
      <c r="O33" s="16" t="n">
        <f aca="false">-Assumptions!$B$29</f>
        <v>-5000</v>
      </c>
      <c r="P33" s="16" t="n">
        <f aca="false">-Assumptions!$B$29</f>
        <v>-5000</v>
      </c>
      <c r="Q33" s="16" t="n">
        <f aca="false">-Assumptions!$B$29</f>
        <v>-5000</v>
      </c>
      <c r="R33" s="16" t="n">
        <f aca="false">-Assumptions!$B$29</f>
        <v>-5000</v>
      </c>
      <c r="S33" s="16" t="n">
        <f aca="false">-Assumptions!$B$29</f>
        <v>-5000</v>
      </c>
      <c r="T33" s="16" t="n">
        <f aca="false">-Assumptions!$B$29</f>
        <v>-5000</v>
      </c>
      <c r="U33" s="16" t="n">
        <f aca="false">-Assumptions!$B$29</f>
        <v>-5000</v>
      </c>
      <c r="V33" s="16" t="n">
        <f aca="false">-Assumptions!$B$29</f>
        <v>-5000</v>
      </c>
      <c r="W33" s="16" t="n">
        <f aca="false">-Assumptions!$B$29</f>
        <v>-5000</v>
      </c>
      <c r="X33" s="16" t="n">
        <f aca="false">-Assumptions!$B$29</f>
        <v>-5000</v>
      </c>
      <c r="Y33" s="16" t="n">
        <f aca="false">-Assumptions!$B$29</f>
        <v>-5000</v>
      </c>
    </row>
    <row r="34" customFormat="false" ht="15" hidden="false" customHeight="false" outlineLevel="0" collapsed="false">
      <c r="A34" s="4" t="s">
        <v>107</v>
      </c>
      <c r="B34" s="16" t="n">
        <f aca="false">-Assumptions!$B$32</f>
        <v>-400000</v>
      </c>
      <c r="C34" s="16" t="n">
        <f aca="false">-Assumptions!$B$32</f>
        <v>-400000</v>
      </c>
      <c r="D34" s="16" t="n">
        <f aca="false">-Assumptions!$B$32</f>
        <v>-400000</v>
      </c>
      <c r="E34" s="16" t="n">
        <f aca="false">-Assumptions!$B$32</f>
        <v>-400000</v>
      </c>
      <c r="F34" s="16" t="n">
        <f aca="false">-Assumptions!$B$32</f>
        <v>-400000</v>
      </c>
      <c r="G34" s="16" t="n">
        <f aca="false">-Assumptions!$B$32</f>
        <v>-400000</v>
      </c>
      <c r="H34" s="16" t="n">
        <f aca="false">-Assumptions!$B$32</f>
        <v>-400000</v>
      </c>
      <c r="I34" s="16" t="n">
        <f aca="false">-Assumptions!$B$32</f>
        <v>-400000</v>
      </c>
      <c r="J34" s="16" t="n">
        <f aca="false">-Assumptions!$B$32</f>
        <v>-400000</v>
      </c>
      <c r="K34" s="16" t="n">
        <f aca="false">-Assumptions!$B$32</f>
        <v>-400000</v>
      </c>
      <c r="L34" s="16" t="n">
        <f aca="false">-Assumptions!$B$32</f>
        <v>-400000</v>
      </c>
      <c r="M34" s="16" t="n">
        <f aca="false">-Assumptions!$B$32</f>
        <v>-400000</v>
      </c>
      <c r="N34" s="16" t="n">
        <f aca="false">-Assumptions!$B$32</f>
        <v>-400000</v>
      </c>
      <c r="O34" s="16" t="n">
        <f aca="false">-Assumptions!$B$32</f>
        <v>-400000</v>
      </c>
      <c r="P34" s="16" t="n">
        <f aca="false">-Assumptions!$B$32</f>
        <v>-400000</v>
      </c>
      <c r="Q34" s="16" t="n">
        <f aca="false">-Assumptions!$B$32</f>
        <v>-400000</v>
      </c>
      <c r="R34" s="16" t="n">
        <f aca="false">-Assumptions!$B$32</f>
        <v>-400000</v>
      </c>
      <c r="S34" s="16" t="n">
        <f aca="false">-Assumptions!$B$32</f>
        <v>-400000</v>
      </c>
      <c r="T34" s="16" t="n">
        <f aca="false">-Assumptions!$B$32</f>
        <v>-400000</v>
      </c>
      <c r="U34" s="16" t="n">
        <f aca="false">-Assumptions!$B$32</f>
        <v>-400000</v>
      </c>
      <c r="V34" s="16" t="n">
        <f aca="false">-Assumptions!$B$32</f>
        <v>-400000</v>
      </c>
      <c r="W34" s="16" t="n">
        <f aca="false">-Assumptions!$B$32</f>
        <v>-400000</v>
      </c>
      <c r="X34" s="16" t="n">
        <f aca="false">-Assumptions!$B$32</f>
        <v>-400000</v>
      </c>
      <c r="Y34" s="16" t="n">
        <f aca="false">-Assumptions!$B$32</f>
        <v>-400000</v>
      </c>
    </row>
    <row r="35" customFormat="false" ht="15" hidden="false" customHeight="false" outlineLevel="0" collapsed="false">
      <c r="A35" s="4" t="s">
        <v>108</v>
      </c>
      <c r="B35" s="16" t="n">
        <f aca="false">-Assumptions!$B$33</f>
        <v>-25000</v>
      </c>
      <c r="C35" s="16" t="n">
        <f aca="false">-Assumptions!$B$33</f>
        <v>-25000</v>
      </c>
      <c r="D35" s="16" t="n">
        <f aca="false">-Assumptions!$B$33</f>
        <v>-25000</v>
      </c>
      <c r="E35" s="16" t="n">
        <f aca="false">-Assumptions!$B$33</f>
        <v>-25000</v>
      </c>
      <c r="F35" s="16" t="n">
        <f aca="false">-Assumptions!$B$33</f>
        <v>-25000</v>
      </c>
      <c r="G35" s="16" t="n">
        <f aca="false">-Assumptions!$B$33</f>
        <v>-25000</v>
      </c>
      <c r="H35" s="16" t="n">
        <f aca="false">-Assumptions!$B$33</f>
        <v>-25000</v>
      </c>
      <c r="I35" s="16" t="n">
        <f aca="false">-Assumptions!$B$33</f>
        <v>-25000</v>
      </c>
      <c r="J35" s="16" t="n">
        <f aca="false">-Assumptions!$B$33</f>
        <v>-25000</v>
      </c>
      <c r="K35" s="16" t="n">
        <f aca="false">-Assumptions!$B$33</f>
        <v>-25000</v>
      </c>
      <c r="L35" s="16" t="n">
        <f aca="false">-Assumptions!$B$33</f>
        <v>-25000</v>
      </c>
      <c r="M35" s="16" t="n">
        <f aca="false">-Assumptions!$B$33</f>
        <v>-25000</v>
      </c>
      <c r="N35" s="16" t="n">
        <f aca="false">-Assumptions!$B$33</f>
        <v>-25000</v>
      </c>
      <c r="O35" s="16" t="n">
        <f aca="false">-Assumptions!$B$33</f>
        <v>-25000</v>
      </c>
      <c r="P35" s="16" t="n">
        <f aca="false">-Assumptions!$B$33</f>
        <v>-25000</v>
      </c>
      <c r="Q35" s="16" t="n">
        <f aca="false">-Assumptions!$B$33</f>
        <v>-25000</v>
      </c>
      <c r="R35" s="16" t="n">
        <f aca="false">-Assumptions!$B$33</f>
        <v>-25000</v>
      </c>
      <c r="S35" s="16" t="n">
        <f aca="false">-Assumptions!$B$33</f>
        <v>-25000</v>
      </c>
      <c r="T35" s="16" t="n">
        <f aca="false">-Assumptions!$B$33</f>
        <v>-25000</v>
      </c>
      <c r="U35" s="16" t="n">
        <f aca="false">-Assumptions!$B$33</f>
        <v>-25000</v>
      </c>
      <c r="V35" s="16" t="n">
        <f aca="false">-Assumptions!$B$33</f>
        <v>-25000</v>
      </c>
      <c r="W35" s="16" t="n">
        <f aca="false">-Assumptions!$B$33</f>
        <v>-25000</v>
      </c>
      <c r="X35" s="16" t="n">
        <f aca="false">-Assumptions!$B$33</f>
        <v>-25000</v>
      </c>
      <c r="Y35" s="16" t="n">
        <f aca="false">-Assumptions!$B$33</f>
        <v>-25000</v>
      </c>
    </row>
    <row r="36" customFormat="false" ht="15" hidden="false" customHeight="false" outlineLevel="0" collapsed="false">
      <c r="A36" s="4" t="s">
        <v>109</v>
      </c>
      <c r="B36" s="16" t="n">
        <f aca="false">-Assumptions!$B$34</f>
        <v>-30000</v>
      </c>
      <c r="C36" s="16" t="n">
        <f aca="false">-Assumptions!$B$34</f>
        <v>-30000</v>
      </c>
      <c r="D36" s="16" t="n">
        <f aca="false">-Assumptions!$B$34</f>
        <v>-30000</v>
      </c>
      <c r="E36" s="16" t="n">
        <f aca="false">-Assumptions!$B$34</f>
        <v>-30000</v>
      </c>
      <c r="F36" s="16" t="n">
        <f aca="false">-Assumptions!$B$34</f>
        <v>-30000</v>
      </c>
      <c r="G36" s="16" t="n">
        <f aca="false">-Assumptions!$B$34</f>
        <v>-30000</v>
      </c>
      <c r="H36" s="16" t="n">
        <f aca="false">-Assumptions!$B$34</f>
        <v>-30000</v>
      </c>
      <c r="I36" s="16" t="n">
        <f aca="false">-Assumptions!$B$34</f>
        <v>-30000</v>
      </c>
      <c r="J36" s="16" t="n">
        <f aca="false">-Assumptions!$B$34</f>
        <v>-30000</v>
      </c>
      <c r="K36" s="16" t="n">
        <f aca="false">-Assumptions!$B$34</f>
        <v>-30000</v>
      </c>
      <c r="L36" s="16" t="n">
        <f aca="false">-Assumptions!$B$34</f>
        <v>-30000</v>
      </c>
      <c r="M36" s="16" t="n">
        <f aca="false">-Assumptions!$B$34</f>
        <v>-30000</v>
      </c>
      <c r="N36" s="16" t="n">
        <f aca="false">-Assumptions!$B$34</f>
        <v>-30000</v>
      </c>
      <c r="O36" s="16" t="n">
        <f aca="false">-Assumptions!$B$34</f>
        <v>-30000</v>
      </c>
      <c r="P36" s="16" t="n">
        <f aca="false">-Assumptions!$B$34</f>
        <v>-30000</v>
      </c>
      <c r="Q36" s="16" t="n">
        <f aca="false">-Assumptions!$B$34</f>
        <v>-30000</v>
      </c>
      <c r="R36" s="16" t="n">
        <f aca="false">-Assumptions!$B$34</f>
        <v>-30000</v>
      </c>
      <c r="S36" s="16" t="n">
        <f aca="false">-Assumptions!$B$34</f>
        <v>-30000</v>
      </c>
      <c r="T36" s="16" t="n">
        <f aca="false">-Assumptions!$B$34</f>
        <v>-30000</v>
      </c>
      <c r="U36" s="16" t="n">
        <f aca="false">-Assumptions!$B$34</f>
        <v>-30000</v>
      </c>
      <c r="V36" s="16" t="n">
        <f aca="false">-Assumptions!$B$34</f>
        <v>-30000</v>
      </c>
      <c r="W36" s="16" t="n">
        <f aca="false">-Assumptions!$B$34</f>
        <v>-30000</v>
      </c>
      <c r="X36" s="16" t="n">
        <f aca="false">-Assumptions!$B$34</f>
        <v>-30000</v>
      </c>
      <c r="Y36" s="16" t="n">
        <f aca="false">-Assumptions!$B$34</f>
        <v>-30000</v>
      </c>
    </row>
    <row r="37" customFormat="false" ht="15" hidden="false" customHeight="false" outlineLevel="0" collapsed="false">
      <c r="A37" s="17" t="s">
        <v>110</v>
      </c>
      <c r="B37" s="18" t="n">
        <f aca="false">SUM(B29:B36)</f>
        <v>-740000</v>
      </c>
      <c r="C37" s="18" t="n">
        <f aca="false">SUM(C29:C36)</f>
        <v>-740000</v>
      </c>
      <c r="D37" s="18" t="n">
        <f aca="false">SUM(D29:D36)</f>
        <v>-740000</v>
      </c>
      <c r="E37" s="18" t="n">
        <f aca="false">SUM(E29:E36)</f>
        <v>-740000</v>
      </c>
      <c r="F37" s="18" t="n">
        <f aca="false">SUM(F29:F36)</f>
        <v>-740000</v>
      </c>
      <c r="G37" s="18" t="n">
        <f aca="false">SUM(G29:G36)</f>
        <v>-740000</v>
      </c>
      <c r="H37" s="18" t="n">
        <f aca="false">SUM(H29:H36)</f>
        <v>-740000</v>
      </c>
      <c r="I37" s="18" t="n">
        <f aca="false">SUM(I29:I36)</f>
        <v>-740000</v>
      </c>
      <c r="J37" s="18" t="n">
        <f aca="false">SUM(J29:J36)</f>
        <v>-740000</v>
      </c>
      <c r="K37" s="18" t="n">
        <f aca="false">SUM(K29:K36)</f>
        <v>-740000</v>
      </c>
      <c r="L37" s="18" t="n">
        <f aca="false">SUM(L29:L36)</f>
        <v>-740000</v>
      </c>
      <c r="M37" s="18" t="n">
        <f aca="false">SUM(M29:M36)</f>
        <v>-740000</v>
      </c>
      <c r="N37" s="18" t="n">
        <f aca="false">SUM(N29:N36)</f>
        <v>-740000</v>
      </c>
      <c r="O37" s="18" t="n">
        <f aca="false">SUM(O29:O36)</f>
        <v>-740000</v>
      </c>
      <c r="P37" s="18" t="n">
        <f aca="false">SUM(P29:P36)</f>
        <v>-740000</v>
      </c>
      <c r="Q37" s="18" t="n">
        <f aca="false">SUM(Q29:Q36)</f>
        <v>-740000</v>
      </c>
      <c r="R37" s="18" t="n">
        <f aca="false">SUM(R29:R36)</f>
        <v>-740000</v>
      </c>
      <c r="S37" s="18" t="n">
        <f aca="false">SUM(S29:S36)</f>
        <v>-740000</v>
      </c>
      <c r="T37" s="18" t="n">
        <f aca="false">SUM(T29:T36)</f>
        <v>-740000</v>
      </c>
      <c r="U37" s="18" t="n">
        <f aca="false">SUM(U29:U36)</f>
        <v>-740000</v>
      </c>
      <c r="V37" s="18" t="n">
        <f aca="false">SUM(V29:V36)</f>
        <v>-740000</v>
      </c>
      <c r="W37" s="18" t="n">
        <f aca="false">SUM(W29:W36)</f>
        <v>-740000</v>
      </c>
      <c r="X37" s="18" t="n">
        <f aca="false">SUM(X29:X36)</f>
        <v>-740000</v>
      </c>
      <c r="Y37" s="18" t="n">
        <f aca="false">SUM(Y29:Y36)</f>
        <v>-740000</v>
      </c>
    </row>
    <row r="39" customFormat="false" ht="15" hidden="false" customHeight="false" outlineLevel="0" collapsed="false">
      <c r="A39" s="17" t="s">
        <v>111</v>
      </c>
      <c r="B39" s="18" t="n">
        <f aca="false">B25+B37</f>
        <v>628952.119327731</v>
      </c>
      <c r="C39" s="18" t="n">
        <f aca="false">C25+C37</f>
        <v>1043991.78823529</v>
      </c>
      <c r="D39" s="18" t="n">
        <f aca="false">D25+D37</f>
        <v>1459031.45714286</v>
      </c>
      <c r="E39" s="18" t="n">
        <f aca="false">E25+E37</f>
        <v>1874071.12605042</v>
      </c>
      <c r="F39" s="18" t="n">
        <f aca="false">F25+F37</f>
        <v>2289110.79495798</v>
      </c>
      <c r="G39" s="18" t="n">
        <f aca="false">G25+G37</f>
        <v>2704150.46386555</v>
      </c>
      <c r="H39" s="18" t="n">
        <f aca="false">H25+H37</f>
        <v>3119190.13277311</v>
      </c>
      <c r="I39" s="18" t="n">
        <f aca="false">I25+I37</f>
        <v>3534229.80168067</v>
      </c>
      <c r="J39" s="18" t="n">
        <f aca="false">J25+J37</f>
        <v>3949269.47058824</v>
      </c>
      <c r="K39" s="18" t="n">
        <f aca="false">K25+K37</f>
        <v>4364309.1394958</v>
      </c>
      <c r="L39" s="18" t="n">
        <f aca="false">L25+L37</f>
        <v>4779348.80840336</v>
      </c>
      <c r="M39" s="18" t="n">
        <f aca="false">M25+M37</f>
        <v>5194388.47731092</v>
      </c>
      <c r="N39" s="18" t="n">
        <f aca="false">N25+N37</f>
        <v>5669428.14621849</v>
      </c>
      <c r="O39" s="18" t="n">
        <f aca="false">O25+O37</f>
        <v>6144467.81512605</v>
      </c>
      <c r="P39" s="18" t="n">
        <f aca="false">P25+P37</f>
        <v>6619507.48403361</v>
      </c>
      <c r="Q39" s="18" t="n">
        <f aca="false">Q25+Q37</f>
        <v>7094547.15294118</v>
      </c>
      <c r="R39" s="18" t="n">
        <f aca="false">R25+R37</f>
        <v>7569586.82184874</v>
      </c>
      <c r="S39" s="18" t="n">
        <f aca="false">S25+S37</f>
        <v>8044626.4907563</v>
      </c>
      <c r="T39" s="18" t="n">
        <f aca="false">T25+T37</f>
        <v>8519666.15966387</v>
      </c>
      <c r="U39" s="18" t="n">
        <f aca="false">U25+U37</f>
        <v>8994705.82857143</v>
      </c>
      <c r="V39" s="18" t="n">
        <f aca="false">V25+V37</f>
        <v>9469745.49747899</v>
      </c>
      <c r="W39" s="18" t="n">
        <f aca="false">W25+W37</f>
        <v>9944785.16638655</v>
      </c>
      <c r="X39" s="18" t="n">
        <f aca="false">X25+X37</f>
        <v>10419824.8352941</v>
      </c>
      <c r="Y39" s="18" t="n">
        <f aca="false">Y25+Y37</f>
        <v>10894864.5042017</v>
      </c>
    </row>
    <row r="40" customFormat="false" ht="15" hidden="false" customHeight="false" outlineLevel="0" collapsed="false">
      <c r="A40" s="4" t="s">
        <v>112</v>
      </c>
      <c r="B40" s="16" t="n">
        <f aca="false">-MAX(B39,0)*Assumptions!$B$23</f>
        <v>-220133.241764706</v>
      </c>
      <c r="C40" s="16" t="n">
        <f aca="false">-MAX(C39,0)*Assumptions!$B$23</f>
        <v>-365397.125882353</v>
      </c>
      <c r="D40" s="16" t="n">
        <f aca="false">-MAX(D39,0)*Assumptions!$B$23</f>
        <v>-510661.01</v>
      </c>
      <c r="E40" s="16" t="n">
        <f aca="false">-MAX(E39,0)*Assumptions!$B$23</f>
        <v>-655924.894117647</v>
      </c>
      <c r="F40" s="16" t="n">
        <f aca="false">-MAX(F39,0)*Assumptions!$B$23</f>
        <v>-801188.778235294</v>
      </c>
      <c r="G40" s="16" t="n">
        <f aca="false">-MAX(G39,0)*Assumptions!$B$23</f>
        <v>-946452.662352941</v>
      </c>
      <c r="H40" s="16" t="n">
        <f aca="false">-MAX(H39,0)*Assumptions!$B$23</f>
        <v>-1091716.54647059</v>
      </c>
      <c r="I40" s="16" t="n">
        <f aca="false">-MAX(I39,0)*Assumptions!$B$23</f>
        <v>-1236980.43058824</v>
      </c>
      <c r="J40" s="16" t="n">
        <f aca="false">-MAX(J39,0)*Assumptions!$B$23</f>
        <v>-1382244.31470588</v>
      </c>
      <c r="K40" s="16" t="n">
        <f aca="false">-MAX(K39,0)*Assumptions!$B$23</f>
        <v>-1527508.19882353</v>
      </c>
      <c r="L40" s="16" t="n">
        <f aca="false">-MAX(L39,0)*Assumptions!$B$23</f>
        <v>-1672772.08294118</v>
      </c>
      <c r="M40" s="16" t="n">
        <f aca="false">-MAX(M39,0)*Assumptions!$B$23</f>
        <v>-1818035.96705882</v>
      </c>
      <c r="N40" s="16" t="n">
        <f aca="false">-MAX(N39,0)*Assumptions!$B$23</f>
        <v>-1984299.85117647</v>
      </c>
      <c r="O40" s="16" t="n">
        <f aca="false">-MAX(O39,0)*Assumptions!$B$23</f>
        <v>-2150563.73529412</v>
      </c>
      <c r="P40" s="16" t="n">
        <f aca="false">-MAX(P39,0)*Assumptions!$B$23</f>
        <v>-2316827.61941176</v>
      </c>
      <c r="Q40" s="16" t="n">
        <f aca="false">-MAX(Q39,0)*Assumptions!$B$23</f>
        <v>-2483091.50352941</v>
      </c>
      <c r="R40" s="16" t="n">
        <f aca="false">-MAX(R39,0)*Assumptions!$B$23</f>
        <v>-2649355.38764706</v>
      </c>
      <c r="S40" s="16" t="n">
        <f aca="false">-MAX(S39,0)*Assumptions!$B$23</f>
        <v>-2815619.27176471</v>
      </c>
      <c r="T40" s="16" t="n">
        <f aca="false">-MAX(T39,0)*Assumptions!$B$23</f>
        <v>-2981883.15588235</v>
      </c>
      <c r="U40" s="16" t="n">
        <f aca="false">-MAX(U39,0)*Assumptions!$B$23</f>
        <v>-3148147.04</v>
      </c>
      <c r="V40" s="16" t="n">
        <f aca="false">-MAX(V39,0)*Assumptions!$B$23</f>
        <v>-3314410.92411765</v>
      </c>
      <c r="W40" s="16" t="n">
        <f aca="false">-MAX(W39,0)*Assumptions!$B$23</f>
        <v>-3480674.80823529</v>
      </c>
      <c r="X40" s="16" t="n">
        <f aca="false">-MAX(X39,0)*Assumptions!$B$23</f>
        <v>-3646938.69235294</v>
      </c>
      <c r="Y40" s="16" t="n">
        <f aca="false">-MAX(Y39,0)*Assumptions!$B$23</f>
        <v>-3813202.57647059</v>
      </c>
    </row>
    <row r="41" customFormat="false" ht="15" hidden="false" customHeight="false" outlineLevel="0" collapsed="false">
      <c r="A41" s="17" t="s">
        <v>113</v>
      </c>
      <c r="B41" s="18" t="n">
        <f aca="false">B39+B40</f>
        <v>408818.877563025</v>
      </c>
      <c r="C41" s="18" t="n">
        <f aca="false">C39+C40</f>
        <v>678594.662352941</v>
      </c>
      <c r="D41" s="18" t="n">
        <f aca="false">D39+D40</f>
        <v>948370.447142857</v>
      </c>
      <c r="E41" s="18" t="n">
        <f aca="false">E39+E40</f>
        <v>1218146.23193277</v>
      </c>
      <c r="F41" s="18" t="n">
        <f aca="false">F39+F40</f>
        <v>1487922.01672269</v>
      </c>
      <c r="G41" s="18" t="n">
        <f aca="false">G39+G40</f>
        <v>1757697.80151261</v>
      </c>
      <c r="H41" s="18" t="n">
        <f aca="false">H39+H40</f>
        <v>2027473.58630252</v>
      </c>
      <c r="I41" s="18" t="n">
        <f aca="false">I39+I40</f>
        <v>2297249.37109244</v>
      </c>
      <c r="J41" s="18" t="n">
        <f aca="false">J39+J40</f>
        <v>2567025.15588235</v>
      </c>
      <c r="K41" s="18" t="n">
        <f aca="false">K39+K40</f>
        <v>2836800.94067227</v>
      </c>
      <c r="L41" s="18" t="n">
        <f aca="false">L39+L40</f>
        <v>3106576.72546219</v>
      </c>
      <c r="M41" s="18" t="n">
        <f aca="false">M39+M40</f>
        <v>3376352.5102521</v>
      </c>
      <c r="N41" s="18" t="n">
        <f aca="false">N39+N40</f>
        <v>3685128.29504202</v>
      </c>
      <c r="O41" s="18" t="n">
        <f aca="false">O39+O40</f>
        <v>3993904.07983193</v>
      </c>
      <c r="P41" s="18" t="n">
        <f aca="false">P39+P40</f>
        <v>4302679.86462185</v>
      </c>
      <c r="Q41" s="18" t="n">
        <f aca="false">Q39+Q40</f>
        <v>4611455.64941176</v>
      </c>
      <c r="R41" s="18" t="n">
        <f aca="false">R39+R40</f>
        <v>4920231.43420168</v>
      </c>
      <c r="S41" s="18" t="n">
        <f aca="false">S39+S40</f>
        <v>5229007.2189916</v>
      </c>
      <c r="T41" s="18" t="n">
        <f aca="false">T39+T40</f>
        <v>5537783.00378151</v>
      </c>
      <c r="U41" s="18" t="n">
        <f aca="false">U39+U40</f>
        <v>5846558.78857143</v>
      </c>
      <c r="V41" s="18" t="n">
        <f aca="false">V39+V40</f>
        <v>6155334.57336135</v>
      </c>
      <c r="W41" s="18" t="n">
        <f aca="false">W39+W40</f>
        <v>6464110.35815126</v>
      </c>
      <c r="X41" s="18" t="n">
        <f aca="false">X39+X40</f>
        <v>6772886.14294118</v>
      </c>
      <c r="Y41" s="18" t="n">
        <f aca="false">Y39+Y40</f>
        <v>7081661.92773109</v>
      </c>
    </row>
    <row r="42" customFormat="false" ht="15" hidden="false" customHeight="false" outlineLevel="0" collapsed="false">
      <c r="A42" s="11" t="s">
        <v>114</v>
      </c>
      <c r="B42" s="20" t="n">
        <f aca="false">B41</f>
        <v>408818.877563025</v>
      </c>
      <c r="C42" s="20" t="n">
        <f aca="false">B42+C41</f>
        <v>1087413.53991597</v>
      </c>
      <c r="D42" s="20" t="n">
        <f aca="false">C42+D41</f>
        <v>2035783.98705882</v>
      </c>
      <c r="E42" s="20" t="n">
        <f aca="false">D42+E41</f>
        <v>3253930.2189916</v>
      </c>
      <c r="F42" s="20" t="n">
        <f aca="false">E42+F41</f>
        <v>4741852.23571429</v>
      </c>
      <c r="G42" s="20" t="n">
        <f aca="false">F42+G41</f>
        <v>6499550.03722689</v>
      </c>
      <c r="H42" s="20" t="n">
        <f aca="false">G42+H41</f>
        <v>8527023.62352941</v>
      </c>
      <c r="I42" s="20" t="n">
        <f aca="false">H42+I41</f>
        <v>10824272.9946219</v>
      </c>
      <c r="J42" s="20" t="n">
        <f aca="false">I42+J41</f>
        <v>13391298.1505042</v>
      </c>
      <c r="K42" s="20" t="n">
        <f aca="false">J42+K41</f>
        <v>16228099.0911765</v>
      </c>
      <c r="L42" s="20" t="n">
        <f aca="false">K42+L41</f>
        <v>19334675.8166387</v>
      </c>
      <c r="M42" s="20" t="n">
        <f aca="false">L42+M41</f>
        <v>22711028.3268908</v>
      </c>
      <c r="N42" s="20" t="n">
        <f aca="false">M42+N41</f>
        <v>26396156.6219328</v>
      </c>
      <c r="O42" s="20" t="n">
        <f aca="false">N42+O41</f>
        <v>30390060.7017647</v>
      </c>
      <c r="P42" s="20" t="n">
        <f aca="false">O42+P41</f>
        <v>34692740.5663866</v>
      </c>
      <c r="Q42" s="20" t="n">
        <f aca="false">P42+Q41</f>
        <v>39304196.2157983</v>
      </c>
      <c r="R42" s="20" t="n">
        <f aca="false">Q42+R41</f>
        <v>44224427.65</v>
      </c>
      <c r="S42" s="20" t="n">
        <f aca="false">R42+S41</f>
        <v>49453434.8689916</v>
      </c>
      <c r="T42" s="20" t="n">
        <f aca="false">S42+T41</f>
        <v>54991217.8727731</v>
      </c>
      <c r="U42" s="20" t="n">
        <f aca="false">T42+U41</f>
        <v>60837776.6613445</v>
      </c>
      <c r="V42" s="20" t="n">
        <f aca="false">U42+V41</f>
        <v>66993111.2347059</v>
      </c>
      <c r="W42" s="20" t="n">
        <f aca="false">V42+W41</f>
        <v>73457221.5928572</v>
      </c>
      <c r="X42" s="20" t="n">
        <f aca="false">W42+X41</f>
        <v>80230107.7357983</v>
      </c>
      <c r="Y42" s="20" t="n">
        <f aca="false">X42+Y41</f>
        <v>87311769.6635294</v>
      </c>
    </row>
  </sheetData>
  <mergeCells count="1">
    <mergeCell ref="A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115</v>
      </c>
      <c r="B1" s="1"/>
      <c r="C1" s="1"/>
    </row>
    <row r="3" customFormat="false" ht="15" hidden="false" customHeight="false" outlineLevel="0" collapsed="false">
      <c r="A3" s="2" t="s">
        <v>116</v>
      </c>
      <c r="B3" s="2"/>
      <c r="C3" s="2"/>
    </row>
    <row r="5" customFormat="false" ht="15" hidden="false" customHeight="false" outlineLevel="0" collapsed="false">
      <c r="A5" s="9" t="s">
        <v>117</v>
      </c>
      <c r="B5" s="21"/>
    </row>
    <row r="6" customFormat="false" ht="15" hidden="false" customHeight="false" outlineLevel="0" collapsed="false">
      <c r="A6" s="4" t="s">
        <v>118</v>
      </c>
      <c r="B6" s="16" t="n">
        <f aca="false">Assumptions!$B$9</f>
        <v>400000</v>
      </c>
    </row>
    <row r="7" customFormat="false" ht="15" hidden="false" customHeight="false" outlineLevel="0" collapsed="false">
      <c r="A7" s="4" t="s">
        <v>119</v>
      </c>
      <c r="B7" s="16" t="n">
        <f aca="false">Assumptions!$B$10*12</f>
        <v>1800000</v>
      </c>
    </row>
    <row r="8" customFormat="false" ht="15" hidden="false" customHeight="false" outlineLevel="0" collapsed="false">
      <c r="A8" s="17" t="s">
        <v>120</v>
      </c>
      <c r="B8" s="18" t="n">
        <f aca="false">B6+B7</f>
        <v>2200000</v>
      </c>
    </row>
    <row r="9" customFormat="false" ht="15" hidden="false" customHeight="false" outlineLevel="0" collapsed="false">
      <c r="A9" s="4" t="s">
        <v>121</v>
      </c>
      <c r="B9" s="16" t="n">
        <f aca="false">-B8*Assumptions!$B$11/(1+Assumptions!$B$11)</f>
        <v>-351260.504201681</v>
      </c>
    </row>
    <row r="10" customFormat="false" ht="15" hidden="false" customHeight="false" outlineLevel="0" collapsed="false">
      <c r="A10" s="17" t="s">
        <v>122</v>
      </c>
      <c r="B10" s="18" t="n">
        <f aca="false">B8+B9</f>
        <v>1848739.49579832</v>
      </c>
    </row>
    <row r="12" customFormat="false" ht="15" hidden="false" customHeight="false" outlineLevel="0" collapsed="false">
      <c r="A12" s="9" t="s">
        <v>92</v>
      </c>
      <c r="B12" s="21"/>
    </row>
    <row r="13" customFormat="false" ht="15" hidden="false" customHeight="false" outlineLevel="0" collapsed="false">
      <c r="A13" s="4" t="s">
        <v>123</v>
      </c>
      <c r="B13" s="16" t="n">
        <f aca="false">-B6*Assumptions!$B$13</f>
        <v>-80000</v>
      </c>
    </row>
    <row r="14" customFormat="false" ht="15" hidden="false" customHeight="false" outlineLevel="0" collapsed="false">
      <c r="A14" s="4" t="s">
        <v>124</v>
      </c>
      <c r="B14" s="16" t="n">
        <f aca="false">-B7*Assumptions!$B$14</f>
        <v>-180000</v>
      </c>
    </row>
    <row r="15" customFormat="false" ht="15" hidden="false" customHeight="false" outlineLevel="0" collapsed="false">
      <c r="A15" s="4" t="s">
        <v>125</v>
      </c>
      <c r="B15" s="16" t="n">
        <f aca="false">-(B6*Assumptions!$B$18+Assumptions!$B$19)*(1+Assumptions!$B$20)</f>
        <v>-15303.4</v>
      </c>
    </row>
    <row r="16" customFormat="false" ht="15" hidden="false" customHeight="false" outlineLevel="0" collapsed="false">
      <c r="A16" s="4" t="s">
        <v>126</v>
      </c>
      <c r="B16" s="16" t="n">
        <f aca="false">-12*(Assumptions!$B$10*Assumptions!$B$18+Assumptions!$B$19)*(1+Assumptions!$B$20)</f>
        <v>-76897.8</v>
      </c>
    </row>
    <row r="17" customFormat="false" ht="15" hidden="false" customHeight="false" outlineLevel="0" collapsed="false">
      <c r="A17" s="4" t="s">
        <v>127</v>
      </c>
      <c r="B17" s="16" t="n">
        <f aca="false">-B10*Assumptions!$B$22</f>
        <v>-12941.1764705882</v>
      </c>
    </row>
    <row r="18" customFormat="false" ht="15" hidden="false" customHeight="false" outlineLevel="0" collapsed="false">
      <c r="A18" s="17" t="s">
        <v>128</v>
      </c>
      <c r="B18" s="18" t="n">
        <f aca="false">SUM(B13:B17)</f>
        <v>-365142.376470588</v>
      </c>
    </row>
    <row r="20" customFormat="false" ht="15" hidden="false" customHeight="false" outlineLevel="0" collapsed="false">
      <c r="A20" s="17" t="s">
        <v>129</v>
      </c>
      <c r="B20" s="18" t="n">
        <f aca="false">B10+B18</f>
        <v>1483597.11932773</v>
      </c>
    </row>
    <row r="21" customFormat="false" ht="15" hidden="false" customHeight="false" outlineLevel="0" collapsed="false">
      <c r="A21" s="4" t="s">
        <v>130</v>
      </c>
      <c r="B21" s="19" t="n">
        <f aca="false">IFERROR(B20/B10,0)</f>
        <v>0.802491169090909</v>
      </c>
    </row>
    <row r="23" customFormat="false" ht="15" hidden="false" customHeight="false" outlineLevel="0" collapsed="false">
      <c r="A23" s="9" t="s">
        <v>131</v>
      </c>
      <c r="B23" s="21"/>
    </row>
    <row r="24" customFormat="false" ht="15" hidden="false" customHeight="false" outlineLevel="0" collapsed="false">
      <c r="A24" s="4" t="s">
        <v>132</v>
      </c>
      <c r="B24" s="16" t="n">
        <f aca="false">B20*Assumptions!$B$5</f>
        <v>5934388.47731092</v>
      </c>
      <c r="C24" s="6" t="s">
        <v>133</v>
      </c>
    </row>
    <row r="25" customFormat="false" ht="15" hidden="false" customHeight="false" outlineLevel="0" collapsed="false">
      <c r="A25" s="4" t="s">
        <v>134</v>
      </c>
      <c r="B25" s="16" t="n">
        <f aca="false">-(Assumptions!$B$25+Assumptions!$B$26+Assumptions!$B$27+Assumptions!$B$28+Assumptions!$B$29+Assumptions!$B$32+Assumptions!$B$33+Assumptions!$B$34)</f>
        <v>-740000</v>
      </c>
    </row>
    <row r="26" customFormat="false" ht="15" hidden="false" customHeight="false" outlineLevel="0" collapsed="false">
      <c r="A26" s="4" t="s">
        <v>135</v>
      </c>
      <c r="B26" s="16" t="n">
        <f aca="false">B25*12</f>
        <v>-8880000</v>
      </c>
    </row>
    <row r="27" customFormat="false" ht="15" hidden="false" customHeight="false" outlineLevel="0" collapsed="false">
      <c r="A27" s="4" t="s">
        <v>136</v>
      </c>
      <c r="B27" s="22" t="n">
        <f aca="false">IFERROR(-B25*12/B20,0)</f>
        <v>5.98545244144437</v>
      </c>
      <c r="C27" s="6" t="s">
        <v>137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23" t="s">
        <v>138</v>
      </c>
    </row>
    <row r="3" customFormat="false" ht="15" hidden="false" customHeight="false" outlineLevel="0" collapsed="false">
      <c r="A3" s="24"/>
    </row>
    <row r="4" customFormat="false" ht="15" hidden="false" customHeight="false" outlineLevel="0" collapsed="false">
      <c r="A4" s="24" t="s">
        <v>139</v>
      </c>
    </row>
    <row r="5" customFormat="false" ht="26.85" hidden="false" customHeight="false" outlineLevel="0" collapsed="false">
      <c r="A5" s="24" t="s">
        <v>140</v>
      </c>
    </row>
    <row r="6" customFormat="false" ht="15" hidden="false" customHeight="false" outlineLevel="0" collapsed="false">
      <c r="A6" s="24" t="s">
        <v>141</v>
      </c>
    </row>
    <row r="7" customFormat="false" ht="15" hidden="false" customHeight="false" outlineLevel="0" collapsed="false">
      <c r="A7" s="24"/>
    </row>
    <row r="8" customFormat="false" ht="26.85" hidden="false" customHeight="false" outlineLevel="0" collapsed="false">
      <c r="A8" s="24" t="s">
        <v>142</v>
      </c>
    </row>
    <row r="9" customFormat="false" ht="26.85" hidden="false" customHeight="false" outlineLevel="0" collapsed="false">
      <c r="A9" s="24" t="s">
        <v>143</v>
      </c>
    </row>
    <row r="10" customFormat="false" ht="15" hidden="false" customHeight="false" outlineLevel="0" collapsed="false">
      <c r="A10" s="24"/>
    </row>
    <row r="11" customFormat="false" ht="26.85" hidden="false" customHeight="false" outlineLevel="0" collapsed="false">
      <c r="A11" s="24" t="s">
        <v>144</v>
      </c>
    </row>
    <row r="12" customFormat="false" ht="15" hidden="false" customHeight="false" outlineLevel="0" collapsed="false">
      <c r="A12" s="24" t="s">
        <v>145</v>
      </c>
    </row>
    <row r="13" customFormat="false" ht="15" hidden="false" customHeight="false" outlineLevel="0" collapsed="false">
      <c r="A13" s="24"/>
    </row>
    <row r="14" customFormat="false" ht="26.85" hidden="false" customHeight="false" outlineLevel="0" collapsed="false">
      <c r="A14" s="24" t="s">
        <v>146</v>
      </c>
    </row>
    <row r="15" customFormat="false" ht="26.85" hidden="false" customHeight="false" outlineLevel="0" collapsed="false">
      <c r="A15" s="24" t="s">
        <v>147</v>
      </c>
    </row>
    <row r="16" customFormat="false" ht="15" hidden="false" customHeight="false" outlineLevel="0" collapsed="false">
      <c r="A16" s="24"/>
    </row>
    <row r="17" customFormat="false" ht="15" hidden="false" customHeight="false" outlineLevel="0" collapsed="false">
      <c r="A17" s="24" t="s">
        <v>148</v>
      </c>
    </row>
    <row r="18" customFormat="false" ht="15" hidden="false" customHeight="false" outlineLevel="0" collapsed="false">
      <c r="A18" s="24" t="s">
        <v>149</v>
      </c>
    </row>
    <row r="19" customFormat="false" ht="15" hidden="false" customHeight="false" outlineLevel="0" collapsed="false">
      <c r="A19" s="24"/>
    </row>
    <row r="20" customFormat="false" ht="15" hidden="false" customHeight="false" outlineLevel="0" collapsed="false">
      <c r="A20" s="24" t="s">
        <v>150</v>
      </c>
    </row>
    <row r="21" customFormat="false" ht="15" hidden="false" customHeight="false" outlineLevel="0" collapsed="false">
      <c r="A21" s="24"/>
    </row>
    <row r="22" customFormat="false" ht="26.85" hidden="false" customHeight="false" outlineLevel="0" collapsed="false">
      <c r="A22" s="24" t="s">
        <v>151</v>
      </c>
    </row>
    <row r="23" customFormat="false" ht="15" hidden="false" customHeight="false" outlineLevel="0" collapsed="false">
      <c r="A23" s="24" t="s">
        <v>152</v>
      </c>
    </row>
    <row r="24" customFormat="false" ht="15" hidden="false" customHeight="false" outlineLevel="0" collapsed="false">
      <c r="A24" s="24"/>
    </row>
    <row r="25" customFormat="false" ht="26.85" hidden="false" customHeight="false" outlineLevel="0" collapsed="false">
      <c r="A25" s="24" t="s">
        <v>153</v>
      </c>
    </row>
    <row r="26" customFormat="false" ht="26.85" hidden="false" customHeight="false" outlineLevel="0" collapsed="false">
      <c r="A26" s="24" t="s">
        <v>154</v>
      </c>
    </row>
    <row r="27" customFormat="false" ht="15" hidden="false" customHeight="false" outlineLevel="0" collapsed="false">
      <c r="A27" s="24"/>
    </row>
    <row r="28" customFormat="false" ht="26.85" hidden="false" customHeight="false" outlineLevel="0" collapsed="false">
      <c r="A28" s="24" t="s">
        <v>155</v>
      </c>
    </row>
    <row r="29" customFormat="false" ht="15" hidden="false" customHeight="false" outlineLevel="0" collapsed="false">
      <c r="A29" s="24" t="s">
        <v>156</v>
      </c>
    </row>
    <row r="30" customFormat="false" ht="15" hidden="false" customHeight="false" outlineLevel="0" collapsed="false">
      <c r="A30" s="24"/>
    </row>
    <row r="31" customFormat="false" ht="15" hidden="false" customHeight="false" outlineLevel="0" collapsed="false">
      <c r="A31" s="25" t="s">
        <v>157</v>
      </c>
    </row>
    <row r="32" customFormat="false" ht="15" hidden="false" customHeight="false" outlineLevel="0" collapsed="false">
      <c r="A32" s="24" t="s">
        <v>158</v>
      </c>
    </row>
    <row r="33" customFormat="false" ht="15" hidden="false" customHeight="false" outlineLevel="0" collapsed="false">
      <c r="A33" s="24" t="s">
        <v>159</v>
      </c>
    </row>
    <row r="34" customFormat="false" ht="15" hidden="false" customHeight="false" outlineLevel="0" collapsed="false">
      <c r="A34" s="24" t="s">
        <v>160</v>
      </c>
    </row>
    <row r="35" customFormat="false" ht="15" hidden="false" customHeight="false" outlineLevel="0" collapsed="false">
      <c r="A35" s="24" t="s">
        <v>161</v>
      </c>
    </row>
    <row r="36" customFormat="false" ht="15" hidden="false" customHeight="false" outlineLevel="0" collapsed="false">
      <c r="A36" s="24" t="s">
        <v>162</v>
      </c>
    </row>
    <row r="37" customFormat="false" ht="15" hidden="false" customHeight="false" outlineLevel="0" collapsed="false">
      <c r="A37" s="24" t="s">
        <v>163</v>
      </c>
    </row>
    <row r="38" customFormat="false" ht="15" hidden="false" customHeight="false" outlineLevel="0" collapsed="false">
      <c r="A38" s="24"/>
    </row>
    <row r="39" customFormat="false" ht="26.85" hidden="false" customHeight="false" outlineLevel="0" collapsed="false">
      <c r="A39" s="24" t="s">
        <v>164</v>
      </c>
    </row>
    <row r="40" customFormat="false" ht="15" hidden="false" customHeight="false" outlineLevel="0" collapsed="false">
      <c r="A40" s="2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2026-05-29T10:33:04Z</dcterms:created>
  <dc:creator>openpyxl</dc:creator>
  <dc:description/>
  <dc:language>en-US</dc:language>
  <cp:lastModifiedBy/>
  <dcterms:modified xsi:type="dcterms:W3CDTF">2026-05-29T10:33:04Z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